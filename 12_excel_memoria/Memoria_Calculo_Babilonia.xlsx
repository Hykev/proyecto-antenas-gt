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Supuestos" sheetId="2" state="visible" r:id="rId4"/>
    <sheet name="MCS" sheetId="3" state="visible" r:id="rId5"/>
    <sheet name="Enlace_por_casa" sheetId="4" state="visible" r:id="rId6"/>
    <sheet name="Capacidad" sheetId="5" state="visible" r:id="rId7"/>
    <sheet name="Interferencia" sheetId="6" state="visible" r:id="rId8"/>
    <sheet name="Sensibilidad" sheetId="7" state="visible" r:id="rId9"/>
    <sheet name="Energia" sheetId="8" state="visible" r:id="rId10"/>
    <sheet name="BOM_CAPEX" sheetId="9" state="visible" r:id="rId11"/>
    <sheet name="OPEX_Tarifa" sheetId="10" state="visible" r:id="rId12"/>
    <sheet name="Legal" sheetId="11" state="visible" r:id="rId13"/>
    <sheet name="Fuente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<sst xmlns="http://schemas.openxmlformats.org/spreadsheetml/2006/main" count="992" uniqueCount="516">
  <si>
    <t xml:space="preserve">Memoria de cálculo — Sistema de antenas y red para la aldea Babilonia (Chisec, Alta Verapaz)</t>
  </si>
  <si>
    <t xml:space="preserve">Universidad del Istmo · Antenas y Propagación 2026 · Modalidad A (simulación) · Equipo: Kevin Gabriel González Donis, Maximiliano González De León, Diego Andre Cuellar Butcher</t>
  </si>
  <si>
    <t xml:space="preserve">Indicador</t>
  </si>
  <si>
    <t xml:space="preserve">Valor</t>
  </si>
  <si>
    <t xml:space="preserve">Nota</t>
  </si>
  <si>
    <t xml:space="preserve">Casas / puntos de servicio de diseño</t>
  </si>
  <si>
    <t xml:space="preserve">Datos de entrada: hoja Enlace_por_casa</t>
  </si>
  <si>
    <t xml:space="preserve">Población estimada (95 viviendas × 4.0 hab.)</t>
  </si>
  <si>
    <t xml:space="preserve">Supuesto D03</t>
  </si>
  <si>
    <t xml:space="preserve">Altura de la torre (m)</t>
  </si>
  <si>
    <t xml:space="preserve">D07</t>
  </si>
  <si>
    <t xml:space="preserve">Distancia máxima a la torre (m)</t>
  </si>
  <si>
    <t xml:space="preserve">Casas con enlace útil en bajada (margen ≥ 10 dB)</t>
  </si>
  <si>
    <t xml:space="preserve">Meta: ≥ 95 % (≥ 104)</t>
  </si>
  <si>
    <t xml:space="preserve">Casas con enlace útil en subida</t>
  </si>
  <si>
    <t xml:space="preserve">Margen mínimo de bajada sobre BPSK (dB)</t>
  </si>
  <si>
    <t xml:space="preserve">Margen mínimo de subida sobre BPSK (dB)</t>
  </si>
  <si>
    <t xml:space="preserve">Casa 26 (41 dB de follaje)</t>
  </si>
  <si>
    <t xml:space="preserve">Margen mediano de bajada (dB)</t>
  </si>
  <si>
    <t xml:space="preserve">Pérdida de follaje máxima (dB)</t>
  </si>
  <si>
    <t xml:space="preserve">Weissberger a 5.8 GHz</t>
  </si>
  <si>
    <t xml:space="preserve">Utilización de aire máx. en bajada (año 3)</t>
  </si>
  <si>
    <t xml:space="preserve">Menor a 100 % = cabe</t>
  </si>
  <si>
    <t xml:space="preserve">Uso del backhaul Starlink en bajada (año 3)</t>
  </si>
  <si>
    <t xml:space="preserve">Pico agregado vs 145 Mbps</t>
  </si>
  <si>
    <t xml:space="preserve">Potencia continua de la torre (W)</t>
  </si>
  <si>
    <t xml:space="preserve">Paneles / baterías</t>
  </si>
  <si>
    <t xml:space="preserve">Autonomía ≈ 2.4 días</t>
  </si>
  <si>
    <t xml:space="preserve">CAPEX total de diseño (Q)</t>
  </si>
  <si>
    <t xml:space="preserve">BOM_CAPEX</t>
  </si>
  <si>
    <t xml:space="preserve">CAPEX por hogar (Q)</t>
  </si>
  <si>
    <t xml:space="preserve">OPEX mensual año 3 (Q)</t>
  </si>
  <si>
    <t xml:space="preserve">OPEX por hogar por mes, año 3 (Q)</t>
  </si>
  <si>
    <t xml:space="preserve">Tarifa de equilibrio por hogar y mes (Q)</t>
  </si>
  <si>
    <t xml:space="preserve">OPEX + CAPEX a 5 años</t>
  </si>
  <si>
    <t xml:space="preserve">Contenido del libro</t>
  </si>
  <si>
    <t xml:space="preserve">Supuestos</t>
  </si>
  <si>
    <t xml:space="preserve">Todos los parámetros de entrada (azules) con su fuente</t>
  </si>
  <si>
    <t xml:space="preserve">MCS</t>
  </si>
  <si>
    <t xml:space="preserve">Tabla de modulaciones del radio y tasas PHY</t>
  </si>
  <si>
    <t xml:space="preserve">Enlace_por_casa</t>
  </si>
  <si>
    <t xml:space="preserve">Presupuesto de enlace de las 109 casas, con fórmulas</t>
  </si>
  <si>
    <t xml:space="preserve">Capacidad</t>
  </si>
  <si>
    <t xml:space="preserve">Utilización por sector, crecimiento y backhaul</t>
  </si>
  <si>
    <t xml:space="preserve">Interferencia</t>
  </si>
  <si>
    <t xml:space="preserve">Plan de frecuencias y C/I entre sectores</t>
  </si>
  <si>
    <t xml:space="preserve">Sensibilidad</t>
  </si>
  <si>
    <t xml:space="preserve">Escenarios de torre, copa, desvanecimiento y montaje</t>
  </si>
  <si>
    <t xml:space="preserve">Energia</t>
  </si>
  <si>
    <t xml:space="preserve">Dimensionamiento solar y baterías</t>
  </si>
  <si>
    <t xml:space="preserve">Lista de materiales y CAPEX en Q</t>
  </si>
  <si>
    <t xml:space="preserve">OPEX_Tarifa</t>
  </si>
  <si>
    <t xml:space="preserve">OPEX, costo por hogar y tarifa</t>
  </si>
  <si>
    <t xml:space="preserve">Legal</t>
  </si>
  <si>
    <t xml:space="preserve">Marco regulatorio (SIT)</t>
  </si>
  <si>
    <t xml:space="preserve">Fuentes</t>
  </si>
  <si>
    <t xml:space="preserve">Trazabilidad de datos</t>
  </si>
  <si>
    <t xml:space="preserve">Supuestos y parámetros de diseño</t>
  </si>
  <si>
    <t xml:space="preserve">Azul = dato de entrada (cámbielo y todo el libro se recalcula). Negro = fórmula. Amarillo = supuesto clave.</t>
  </si>
  <si>
    <t xml:space="preserve">Parámetro</t>
  </si>
  <si>
    <t xml:space="preserve">Unidad</t>
  </si>
  <si>
    <t xml:space="preserve">Fuente / nota</t>
  </si>
  <si>
    <t xml:space="preserve">Frecuencia de diseño</t>
  </si>
  <si>
    <t xml:space="preserve">GHz</t>
  </si>
  <si>
    <t xml:space="preserve">Canal central de la banda 5725–5850 MHz (F28)</t>
  </si>
  <si>
    <t xml:space="preserve">Longitud de onda</t>
  </si>
  <si>
    <t xml:space="preserve">m</t>
  </si>
  <si>
    <t xml:space="preserve">c / f</t>
  </si>
  <si>
    <t xml:space="preserve">Altura de la torre</t>
  </si>
  <si>
    <t xml:space="preserve">Decisión D07 (análisis de follaje, FUENTES F17)</t>
  </si>
  <si>
    <t xml:space="preserve">Elevación del terreno en la torre</t>
  </si>
  <si>
    <t xml:space="preserve">m s. n. m.</t>
  </si>
  <si>
    <t xml:space="preserve">Google Earth (F12)</t>
  </si>
  <si>
    <t xml:space="preserve">Altura del CPE sobre el terreno (mástil)</t>
  </si>
  <si>
    <t xml:space="preserve">Supuesto de diseño (mástil sobre techo)</t>
  </si>
  <si>
    <t xml:space="preserve">Ganancia del CPE LiteBeam 5AC Gen2</t>
  </si>
  <si>
    <t xml:space="preserve">dBi</t>
  </si>
  <si>
    <t xml:space="preserve">Ficha F27</t>
  </si>
  <si>
    <t xml:space="preserve">Pérdida de jumpers/conectores en el AP</t>
  </si>
  <si>
    <t xml:space="preserve">dB</t>
  </si>
  <si>
    <t xml:space="preserve">Supuesto</t>
  </si>
  <si>
    <t xml:space="preserve">Pérdida por desalineación del CPE</t>
  </si>
  <si>
    <t xml:space="preserve">Pérdida por lluvia (trayecto ≤ 0.42 km)</t>
  </si>
  <si>
    <t xml:space="preserve">UIT-R P.838-3, valor aproximado (por verificar)</t>
  </si>
  <si>
    <t xml:space="preserve">Penalización de sensibilidad por canal de 20 MHz</t>
  </si>
  <si>
    <t xml:space="preserve">Supuesto conservador: la ficha F24 da la sensibilidad en otro ancho de canal</t>
  </si>
  <si>
    <t xml:space="preserve">Tx del CPE por debajo del AP</t>
  </si>
  <si>
    <t xml:space="preserve">25 dBm (CPE) frente a 28 dBm (AP)</t>
  </si>
  <si>
    <t xml:space="preserve">Margen de diseño exigido (M_req)</t>
  </si>
  <si>
    <t xml:space="preserve">Criterio del proyecto (FICHA §9)</t>
  </si>
  <si>
    <t xml:space="preserve">Eficiencia MAC (TDD)</t>
  </si>
  <si>
    <t xml:space="preserve">Fracción de la trama para bajada</t>
  </si>
  <si>
    <t xml:space="preserve">Ganancia sectorial AM-5G16-120</t>
  </si>
  <si>
    <t xml:space="preserve">Ficha F25: 15–16 dBi (valor medio)</t>
  </si>
  <si>
    <t xml:space="preserve">Ancho de haz horizontal a 6 dB</t>
  </si>
  <si>
    <t xml:space="preserve">°</t>
  </si>
  <si>
    <t xml:space="preserve">Ficha F25</t>
  </si>
  <si>
    <t xml:space="preserve">Inclinación de fábrica (elevación)</t>
  </si>
  <si>
    <t xml:space="preserve">Inclinación mecánica adicional</t>
  </si>
  <si>
    <t xml:space="preserve">Decisión D16</t>
  </si>
  <si>
    <t xml:space="preserve">Largo físico de la antena sectorial</t>
  </si>
  <si>
    <t xml:space="preserve">Ficha F25 (367 mm)</t>
  </si>
  <si>
    <t xml:space="preserve">Tope de atenuación azimutal (F/B y laterales)</t>
  </si>
  <si>
    <t xml:space="preserve">SUPUESTO: la ficha no da F/B</t>
  </si>
  <si>
    <t xml:space="preserve">Piso de atenuación en elevación</t>
  </si>
  <si>
    <t xml:space="preserve">SUPUESTO</t>
  </si>
  <si>
    <t xml:space="preserve">Acimut del eje S1 / S2 / S3</t>
  </si>
  <si>
    <t xml:space="preserve">Sector S1: 90–210°</t>
  </si>
  <si>
    <t xml:space="preserve">Sector S2: 210–330°</t>
  </si>
  <si>
    <t xml:space="preserve">Sector S3: 330–90°</t>
  </si>
  <si>
    <t xml:space="preserve">Adopción de diseño (año 3)</t>
  </si>
  <si>
    <t xml:space="preserve">D04</t>
  </si>
  <si>
    <t xml:space="preserve">Demanda media por suscriptor en hora pico (bajada)</t>
  </si>
  <si>
    <t xml:space="preserve">Mbps</t>
  </si>
  <si>
    <t xml:space="preserve">4 Mbps por usuario activo × 25 % de simultaneidad</t>
  </si>
  <si>
    <t xml:space="preserve">Demanda media por suscriptor en hora pico (subida)</t>
  </si>
  <si>
    <t xml:space="preserve">0.5 Mbps × 25 %</t>
  </si>
  <si>
    <t xml:space="preserve">Tipo de cambio</t>
  </si>
  <si>
    <t xml:space="preserve">GTQ/USD</t>
  </si>
  <si>
    <t xml:space="preserve">F22 (26-oct-2026)</t>
  </si>
  <si>
    <t xml:space="preserve">Tabla de modulaciones del Rocket Prism 5AC Gen2</t>
  </si>
  <si>
    <t xml:space="preserve">Fuente F24 (netxl). La sensibilidad es la de la ficha (±2 dB). Tasa PHY = 2 flujos × 52 subportadoras × bits × codificación / 3.6 µs (canal 20 MHz, supuesto).</t>
  </si>
  <si>
    <t xml:space="preserve">Modulación</t>
  </si>
  <si>
    <t xml:space="preserve">Bits/símbolo</t>
  </si>
  <si>
    <t xml:space="preserve">Codificación</t>
  </si>
  <si>
    <t xml:space="preserve">Sensibilidad (dBm)</t>
  </si>
  <si>
    <t xml:space="preserve">Tx máx. (dBm)</t>
  </si>
  <si>
    <t xml:space="preserve">Tasa PHY 20 MHz (Mbps)</t>
  </si>
  <si>
    <t xml:space="preserve">Sens. + penalización (dBm)</t>
  </si>
  <si>
    <t xml:space="preserve">BPSK 1/2</t>
  </si>
  <si>
    <t xml:space="preserve">QPSK 1/2</t>
  </si>
  <si>
    <t xml:space="preserve">QPSK 3/4</t>
  </si>
  <si>
    <t xml:space="preserve">16QAM 1/2</t>
  </si>
  <si>
    <t xml:space="preserve">16QAM 3/4</t>
  </si>
  <si>
    <t xml:space="preserve">64QAM 2/3</t>
  </si>
  <si>
    <t xml:space="preserve">64QAM 3/4</t>
  </si>
  <si>
    <t xml:space="preserve">64QAM 5/6</t>
  </si>
  <si>
    <t xml:space="preserve">256QAM 3/4</t>
  </si>
  <si>
    <t xml:space="preserve">256QAM 5/6</t>
  </si>
  <si>
    <t xml:space="preserve">Presupuesto de enlace por casa (torre 30 m → CPE), bajada y subida</t>
  </si>
  <si>
    <t xml:space="preserve">Azul: datos de entrada por casa (georreferenciación, terreno y profundidad de follaje de rfmodel.py). Todas las demás columnas son fórmulas.</t>
  </si>
  <si>
    <t xml:space="preserve">Casa</t>
  </si>
  <si>
    <t xml:space="preserve">Acimut torre→casa (°)</t>
  </si>
  <si>
    <t xml:space="preserve">Distancia horiz. (m)</t>
  </si>
  <si>
    <t xml:space="preserve">Elev. terreno casa (m)</t>
  </si>
  <si>
    <t xml:space="preserve">Follaje atravesado (m)</t>
  </si>
  <si>
    <t xml:space="preserve">Sector</t>
  </si>
  <si>
    <t xml:space="preserve">Eje sector (°)</t>
  </si>
  <si>
    <t xml:space="preserve">Δ acimut (°)</t>
  </si>
  <si>
    <t xml:space="preserve">Desnivel antena–CPE (m)</t>
  </si>
  <si>
    <t xml:space="preserve">Distancia 3D (m)</t>
  </si>
  <si>
    <t xml:space="preserve">Elevación del rayo (°)</t>
  </si>
  <si>
    <t xml:space="preserve">Δ elev. respecto al haz (°)</t>
  </si>
  <si>
    <t xml:space="preserve">Pérd. patrón azimut (dB)</t>
  </si>
  <si>
    <t xml:space="preserve">u (apertura)</t>
  </si>
  <si>
    <t xml:space="preserve">Pérd. patrón elev. (dB)</t>
  </si>
  <si>
    <t xml:space="preserve">Ganancia AP efectiva (dBi)</t>
  </si>
  <si>
    <t xml:space="preserve">FSPL (dB)</t>
  </si>
  <si>
    <t xml:space="preserve">Pérd. follaje Weissberger (dB)</t>
  </si>
  <si>
    <t xml:space="preserve">Pérdida total de trayecto (dB)</t>
  </si>
  <si>
    <t xml:space="preserve">Margen DL sobre BPSK (dB)</t>
  </si>
  <si>
    <t xml:space="preserve">Margen UL sobre BPSK (dB)</t>
  </si>
  <si>
    <t xml:space="preserve">N.º MCS útiles DL</t>
  </si>
  <si>
    <t xml:space="preserve">N.º MCS útiles UL</t>
  </si>
  <si>
    <t xml:space="preserve">MCS DL</t>
  </si>
  <si>
    <t xml:space="preserve">Tasa DL (Mbps)</t>
  </si>
  <si>
    <t xml:space="preserve">Tasa UL (Mbps)</t>
  </si>
  <si>
    <t xml:space="preserve">Carga aire DL</t>
  </si>
  <si>
    <t xml:space="preserve">Carga aire UL</t>
  </si>
  <si>
    <t xml:space="preserve">Capacidad por sector y backhaul Starlink</t>
  </si>
  <si>
    <t xml:space="preserve">Utilización de aire = suma(demanda / (η_MAC · tasa PHY de cada casa)) / fracción de trama. Menor a 100 % = la demanda cabe.</t>
  </si>
  <si>
    <t xml:space="preserve">Casas</t>
  </si>
  <si>
    <t xml:space="preserve">Suscriptores (adopción)</t>
  </si>
  <si>
    <t xml:space="preserve">Util. aire bajada</t>
  </si>
  <si>
    <t xml:space="preserve">Util. aire subida</t>
  </si>
  <si>
    <t xml:space="preserve">S1</t>
  </si>
  <si>
    <t xml:space="preserve">Año 3 (90 % de adopción, 4 Mbps de pico por usuario activo, 25 % simultaneidad)</t>
  </si>
  <si>
    <t xml:space="preserve">S2</t>
  </si>
  <si>
    <t xml:space="preserve">S3</t>
  </si>
  <si>
    <t xml:space="preserve">Escenarios de crecimiento (escala lineal sobre la utilización base)</t>
  </si>
  <si>
    <t xml:space="preserve">Escenario</t>
  </si>
  <si>
    <t xml:space="preserve">Adopción</t>
  </si>
  <si>
    <t xml:space="preserve">Pico por usuario activo (Mbps)</t>
  </si>
  <si>
    <t xml:space="preserve">Util. S1</t>
  </si>
  <si>
    <t xml:space="preserve">Util. S2</t>
  </si>
  <si>
    <t xml:space="preserve">Util. S3</t>
  </si>
  <si>
    <t xml:space="preserve">Año 1</t>
  </si>
  <si>
    <t xml:space="preserve">Año 3 (base)</t>
  </si>
  <si>
    <t xml:space="preserve">Año 5, 6 Mbps</t>
  </si>
  <si>
    <t xml:space="preserve">Año 5, 8 Mbps</t>
  </si>
  <si>
    <t xml:space="preserve">Backhaul Starlink</t>
  </si>
  <si>
    <t xml:space="preserve">Concepto</t>
  </si>
  <si>
    <t xml:space="preserve">Año 3</t>
  </si>
  <si>
    <t xml:space="preserve">Puntos con CPE</t>
  </si>
  <si>
    <t xml:space="preserve">casas</t>
  </si>
  <si>
    <t xml:space="preserve">D04: 60 % / 90 % de 109 + 2 hotspots</t>
  </si>
  <si>
    <t xml:space="preserve">Simultaneidad pico</t>
  </si>
  <si>
    <t xml:space="preserve">Tasa por usuario activo bajada</t>
  </si>
  <si>
    <t xml:space="preserve">Supuesto (video SD/HD, mensajería)</t>
  </si>
  <si>
    <t xml:space="preserve">Tasa por usuario activo subida</t>
  </si>
  <si>
    <t xml:space="preserve">Pico agregado bajada</t>
  </si>
  <si>
    <t xml:space="preserve">Pico agregado subida</t>
  </si>
  <si>
    <t xml:space="preserve">Starlink bajada (diseño, límite inferior)</t>
  </si>
  <si>
    <t xml:space="preserve">F09 (captura starlink.com 23-oct-2026)</t>
  </si>
  <si>
    <t xml:space="preserve">Starlink subida (diseño)</t>
  </si>
  <si>
    <t xml:space="preserve">F11</t>
  </si>
  <si>
    <t xml:space="preserve">Uso del backhaul bajada</t>
  </si>
  <si>
    <t xml:space="preserve">Uso del backhaul subida</t>
  </si>
  <si>
    <t xml:space="preserve">Consumo mensual por punto (GB)</t>
  </si>
  <si>
    <t xml:space="preserve">Consumo mensual total (TB)</t>
  </si>
  <si>
    <t xml:space="preserve">Plan de frecuencias e interferencia entre sectores</t>
  </si>
  <si>
    <t xml:space="preserve">Resultados de analisis_e3.py (modelo C/I entre sectores; ruido −95 dBm; rechazo de canal adyacente 30 dB, supuestos). Valores calculados fuera de Excel.</t>
  </si>
  <si>
    <t xml:space="preserve">Canal (MHz)</t>
  </si>
  <si>
    <t xml:space="preserve">Ancho (MHz)</t>
  </si>
  <si>
    <t xml:space="preserve">Eje (°)</t>
  </si>
  <si>
    <t xml:space="preserve">Polarización</t>
  </si>
  <si>
    <t xml:space="preserve">Sincronía</t>
  </si>
  <si>
    <t xml:space="preserve">Doble (H/V)</t>
  </si>
  <si>
    <t xml:space="preserve">GPS</t>
  </si>
  <si>
    <t xml:space="preserve">Resumen</t>
  </si>
  <si>
    <t xml:space="preserve">C/I cocanal mínimo (dB)</t>
  </si>
  <si>
    <t xml:space="preserve">C/I cocanal mediana (dB)</t>
  </si>
  <si>
    <t xml:space="preserve">Casas sin MCS útil: plan 3 canales</t>
  </si>
  <si>
    <t xml:space="preserve">C/I cocanal (dB)</t>
  </si>
  <si>
    <t xml:space="preserve">MCS plan 3 canales</t>
  </si>
  <si>
    <t xml:space="preserve">Tasa plan (Mbps)</t>
  </si>
  <si>
    <t xml:space="preserve">MCS con 1 solo canal</t>
  </si>
  <si>
    <t xml:space="preserve">Tasa 1 canal (Mbps)</t>
  </si>
  <si>
    <t xml:space="preserve">Casas sin MCS útil: 1 solo canal</t>
  </si>
  <si>
    <t xml:space="preserve">ninguno</t>
  </si>
  <si>
    <t xml:space="preserve">Escenarios de sensibilidad</t>
  </si>
  <si>
    <t xml:space="preserve">Resultados de analisis_e3.py (se recalcula todo el modelo por escenario).</t>
  </si>
  <si>
    <t xml:space="preserve">Casas con enlace útil ↓ y ↑</t>
  </si>
  <si>
    <t xml:space="preserve">Margen mín. ↓ (dB)</t>
  </si>
  <si>
    <t xml:space="preserve">Margen mín. ↑ (dB)</t>
  </si>
  <si>
    <t xml:space="preserve">Margen mediano ↓ (dB)</t>
  </si>
  <si>
    <t xml:space="preserve">Util. máx. DL</t>
  </si>
  <si>
    <t xml:space="preserve">Casas &gt; 30 dB follaje</t>
  </si>
  <si>
    <t xml:space="preserve">Base: torre 30 m, copa 20 m</t>
  </si>
  <si>
    <t xml:space="preserve">Torre 24 m</t>
  </si>
  <si>
    <t xml:space="preserve">Torre 36 m</t>
  </si>
  <si>
    <t xml:space="preserve">Copa 15 m</t>
  </si>
  <si>
    <t xml:space="preserve">Copa 25 m</t>
  </si>
  <si>
    <t xml:space="preserve">Copa 25 m + torre 24 m</t>
  </si>
  <si>
    <t xml:space="preserve">Desvanecimiento extra 6 dB (lluvia fuerte/arboles mojados)</t>
  </si>
  <si>
    <t xml:space="preserve">Error de montaje +2 grados inclinacion</t>
  </si>
  <si>
    <t xml:space="preserve">Error de montaje +4 grados inclinacion</t>
  </si>
  <si>
    <t xml:space="preserve">Criterio: un enlace es útil si hay un MCS con margen ≥ 10 dB; margen mínimo &lt; 10 dB activa la contingencia D08 (mástil de 10 m / CPE de mayor ganancia / relevo).</t>
  </si>
  <si>
    <t xml:space="preserve">Energía solar de la torre (dimensionamiento breve)</t>
  </si>
  <si>
    <t xml:space="preserve">No es el foco del proyecto: dimensionamiento simple, costos aproximados. Todo con fórmulas.</t>
  </si>
  <si>
    <t xml:space="preserve">Carga en la torre</t>
  </si>
  <si>
    <t xml:space="preserve">Cantidad</t>
  </si>
  <si>
    <t xml:space="preserve">Potencia unit. (W)</t>
  </si>
  <si>
    <t xml:space="preserve">Potencia (W)</t>
  </si>
  <si>
    <t xml:space="preserve">Starlink Performance Gen 3</t>
  </si>
  <si>
    <t xml:space="preserve">F18/F21: 75–100 W; se usa el valor alto</t>
  </si>
  <si>
    <t xml:space="preserve">Rocket Prism 5AC Gen2</t>
  </si>
  <si>
    <t xml:space="preserve">F24</t>
  </si>
  <si>
    <t xml:space="preserve">Router + switch gigabit</t>
  </si>
  <si>
    <t xml:space="preserve">Pérdidas de conversión (inversor, PoE)</t>
  </si>
  <si>
    <t xml:space="preserve">Supuesto 10 %</t>
  </si>
  <si>
    <t xml:space="preserve">Potencia continua total (W)</t>
  </si>
  <si>
    <t xml:space="preserve">Energía diaria (kWh/día)</t>
  </si>
  <si>
    <t xml:space="preserve">Autonomía requerida sin sol (días)</t>
  </si>
  <si>
    <t xml:space="preserve">Decisión: 2 días (meta de disponibilidad ≥ 99 %)</t>
  </si>
  <si>
    <t xml:space="preserve">Profundidad de descarga permitida (LiFePO4)</t>
  </si>
  <si>
    <t xml:space="preserve">Supuesto típico LiFePO4</t>
  </si>
  <si>
    <t xml:space="preserve">Capacidad requerida (kWh)</t>
  </si>
  <si>
    <t xml:space="preserve">Capacidad por batería 48 V / 100 Ah (kWh)</t>
  </si>
  <si>
    <t xml:space="preserve">F29: Relion RB48V100 (5.12 kWh)</t>
  </si>
  <si>
    <t xml:space="preserve">Baterías necesarias (unidades)</t>
  </si>
  <si>
    <t xml:space="preserve">Horas solar pico, mes más desfavorable (kWh/m²/día)</t>
  </si>
  <si>
    <t xml:space="preserve">SUPUESTO típico de la zona; verificar en NASA POWER (opcional)</t>
  </si>
  <si>
    <t xml:space="preserve">Rendimiento global del sistema FV (PR)</t>
  </si>
  <si>
    <t xml:space="preserve">Supuesto típico</t>
  </si>
  <si>
    <t xml:space="preserve">Potencia FV requerida (kW)</t>
  </si>
  <si>
    <t xml:space="preserve">Potencia por panel (W)</t>
  </si>
  <si>
    <t xml:space="preserve">Panel monocristalino de 550 W (formato estándar, F30)</t>
  </si>
  <si>
    <t xml:space="preserve">Paneles necesarios (unidades)</t>
  </si>
  <si>
    <t xml:space="preserve">Autonomía real con las baterías instaladas (días)</t>
  </si>
  <si>
    <t xml:space="preserve">Lista de materiales y CAPEX (Q)</t>
  </si>
  <si>
    <t xml:space="preserve">Cantidades y precios en azul. Estado: "Fuente" = precio publicado (ver hoja Fuentes); "Estimación" = precio aproximado del autor, por cotizar.</t>
  </si>
  <si>
    <t xml:space="preserve">Ítem</t>
  </si>
  <si>
    <t xml:space="preserve">Categoría</t>
  </si>
  <si>
    <t xml:space="preserve">Cant. diseño</t>
  </si>
  <si>
    <t xml:space="preserve">Cant. año 1</t>
  </si>
  <si>
    <t xml:space="preserve">Precio unit.</t>
  </si>
  <si>
    <t xml:space="preserve">Moneda</t>
  </si>
  <si>
    <t xml:space="preserve">Precio unit. (Q)</t>
  </si>
  <si>
    <t xml:space="preserve">Total diseño (Q)</t>
  </si>
  <si>
    <t xml:space="preserve">Total año 1 (Q)</t>
  </si>
  <si>
    <t xml:space="preserve">Estado / fuente</t>
  </si>
  <si>
    <t xml:space="preserve">Starlink Performance (Gen 3), plato</t>
  </si>
  <si>
    <t xml:space="preserve">Backhaul</t>
  </si>
  <si>
    <t xml:space="preserve">USD</t>
  </si>
  <si>
    <t xml:space="preserve">Fuente F19/F20 (precio de planificación; rebaja a US$999)</t>
  </si>
  <si>
    <t xml:space="preserve">Adaptador de tubo Starlink</t>
  </si>
  <si>
    <t xml:space="preserve">GTQ</t>
  </si>
  <si>
    <t xml:space="preserve">Fuente F23 (tienda GT)</t>
  </si>
  <si>
    <t xml:space="preserve">Cable Starlink Performance 50 m</t>
  </si>
  <si>
    <t xml:space="preserve">Radio Rocket Prism 5AC Gen2</t>
  </si>
  <si>
    <t xml:space="preserve">Radio</t>
  </si>
  <si>
    <t xml:space="preserve">Fuente F24</t>
  </si>
  <si>
    <t xml:space="preserve">Antena sectorial AM-5G16-120</t>
  </si>
  <si>
    <t xml:space="preserve">Fuente F25</t>
  </si>
  <si>
    <t xml:space="preserve">Router PoE + switch central</t>
  </si>
  <si>
    <t xml:space="preserve">Red</t>
  </si>
  <si>
    <t xml:space="preserve">Estimación</t>
  </si>
  <si>
    <t xml:space="preserve">Inyectores PoE 24 V para radios</t>
  </si>
  <si>
    <t xml:space="preserve">CPE LiteBeam 5AC Gen2</t>
  </si>
  <si>
    <t xml:space="preserve">Abonado</t>
  </si>
  <si>
    <t xml:space="preserve">Fuente F27</t>
  </si>
  <si>
    <t xml:space="preserve">Mástil galvanizado 6 m para CPE</t>
  </si>
  <si>
    <t xml:space="preserve">Cable UTP exterior 15 m + conectores</t>
  </si>
  <si>
    <t xml:space="preserve">Router Wi-Fi interior</t>
  </si>
  <si>
    <t xml:space="preserve">Punto de acceso comunitario exterior</t>
  </si>
  <si>
    <t xml:space="preserve">Comunidad</t>
  </si>
  <si>
    <t xml:space="preserve">Torre ventada 30 m (obra civil, vientos, pararrayos)</t>
  </si>
  <si>
    <t xml:space="preserve">Torre</t>
  </si>
  <si>
    <t xml:space="preserve">Estimación (rango regional US$4,000–8,000)</t>
  </si>
  <si>
    <t xml:space="preserve">Puesta a tierra y protección contra descargas</t>
  </si>
  <si>
    <t xml:space="preserve">Cable UTP blindado y accesorios de torre</t>
  </si>
  <si>
    <t xml:space="preserve">Panel solar 550 W</t>
  </si>
  <si>
    <t xml:space="preserve">Energía</t>
  </si>
  <si>
    <t xml:space="preserve">Batería LiFePO4 48 V 100 Ah (5.12 kWh)</t>
  </si>
  <si>
    <t xml:space="preserve">Fuente F29</t>
  </si>
  <si>
    <t xml:space="preserve">Controlador MPPT + inversor 1 kW</t>
  </si>
  <si>
    <t xml:space="preserve">Estructura de paneles, protecciones y gabinete</t>
  </si>
  <si>
    <t xml:space="preserve">Instalación de torre y radios (cuadrilla)</t>
  </si>
  <si>
    <t xml:space="preserve">Servicios</t>
  </si>
  <si>
    <t xml:space="preserve">Instalación de CPE en casas (mano de obra)</t>
  </si>
  <si>
    <t xml:space="preserve">Transporte y viáticos</t>
  </si>
  <si>
    <t xml:space="preserve">Flete, aduana y gastos de importación (% de equipos)</t>
  </si>
  <si>
    <t xml:space="preserve">Supuesto; IVA 12 % se considera acreditable (empresa legalizada)</t>
  </si>
  <si>
    <t xml:space="preserve">Imprevistos (%)</t>
  </si>
  <si>
    <t xml:space="preserve">Subtotal ítems</t>
  </si>
  <si>
    <t xml:space="preserve">Flete y aduana</t>
  </si>
  <si>
    <t xml:space="preserve">Imprevistos</t>
  </si>
  <si>
    <t xml:space="preserve">CAPEX TOTAL (Q)</t>
  </si>
  <si>
    <t xml:space="preserve">CAPEX TOTAL (US$)</t>
  </si>
  <si>
    <t xml:space="preserve">Hogares con servicio (puntos CPE)</t>
  </si>
  <si>
    <t xml:space="preserve">Nota: la columna "diseño" equipa 109 puntos (máximo), pero el CAPEX por hogar divide entre los 98 puntos de adopción del año 3.</t>
  </si>
  <si>
    <t xml:space="preserve">OPEX mensual, costo por hogar y tarifa de equilibrio (Q)</t>
  </si>
  <si>
    <t xml:space="preserve">Plan Starlink: Prioridad Local 2 TB Q2,970/mes + bloques de 50 GB a Q140 (F08).</t>
  </si>
  <si>
    <t xml:space="preserve">Puntos con servicio (CPE + 2 hotspots)</t>
  </si>
  <si>
    <t xml:space="preserve">Año 1: 65 + 2; año 3: 98 + 2</t>
  </si>
  <si>
    <t xml:space="preserve">Consumo total (GB/mes)</t>
  </si>
  <si>
    <t xml:space="preserve">Bloques extra de 50 GB</t>
  </si>
  <si>
    <t xml:space="preserve">Plan Starlink 2 TB (Q/mes)</t>
  </si>
  <si>
    <t xml:space="preserve">F08</t>
  </si>
  <si>
    <t xml:space="preserve">Bloque extra de 50 GB (Q)</t>
  </si>
  <si>
    <t xml:space="preserve">Suscripción Starlink (Q/mes)</t>
  </si>
  <si>
    <t xml:space="preserve">Mantenimiento (2 % anual del CAPEX)</t>
  </si>
  <si>
    <t xml:space="preserve">Técnico local (medio tiempo)</t>
  </si>
  <si>
    <t xml:space="preserve">Reserva de reposición de CPE (5 % anual)</t>
  </si>
  <si>
    <t xml:space="preserve">Reserva de reposición de baterías (vida 10 años)</t>
  </si>
  <si>
    <t xml:space="preserve">LiFePO4 ≈ 6,000 ciclos (supuesto)</t>
  </si>
  <si>
    <t xml:space="preserve">Seguro (1 % anual del CAPEX)</t>
  </si>
  <si>
    <t xml:space="preserve">Administración, cobranza y soporte</t>
  </si>
  <si>
    <t xml:space="preserve">OPEX MENSUAL TOTAL (Q)</t>
  </si>
  <si>
    <t xml:space="preserve">Hogares con servicio</t>
  </si>
  <si>
    <t xml:space="preserve">OPEX por hogar por mes (Q)</t>
  </si>
  <si>
    <t xml:space="preserve">Amortización del CAPEX a 5 años por hogar y mes (Q)</t>
  </si>
  <si>
    <t xml:space="preserve">TARIFA DE EQUILIBRIO por hogar y mes (Q)</t>
  </si>
  <si>
    <t xml:space="preserve">OPEX + CAPEX amortizado, sin margen de utilidad</t>
  </si>
  <si>
    <t xml:space="preserve">Tarifa propuesta (Q/mes)</t>
  </si>
  <si>
    <t xml:space="preserve">Decisión comercial (compárese con planes móviles rurales)</t>
  </si>
  <si>
    <t xml:space="preserve">Ingreso mensual año 3 (Q)</t>
  </si>
  <si>
    <t xml:space="preserve">Margen mensual año 3 tras OPEX (Q)</t>
  </si>
  <si>
    <t xml:space="preserve">Recuperación simple del CAPEX (meses)</t>
  </si>
  <si>
    <t xml:space="preserve">Con 98 hogares pagando la tarifa propuesta</t>
  </si>
  <si>
    <t xml:space="preserve">Marco legal y regulatorio (Guatemala)</t>
  </si>
  <si>
    <t xml:space="preserve">Se asume que somos parte de una empresa operadora ya legalizada. Las citas marcadas "por verificar" deben contrastarse con el texto oficial.</t>
  </si>
  <si>
    <t xml:space="preserve">Tema</t>
  </si>
  <si>
    <t xml:space="preserve">Qué exige / dice</t>
  </si>
  <si>
    <t xml:space="preserve">Cómo lo cumple el proyecto</t>
  </si>
  <si>
    <t xml:space="preserve">Ley General de Telecomunicaciones (Decreto 94-96)</t>
  </si>
  <si>
    <t xml:space="preserve">Regula el uso del espectro y los servicios de telecomunicaciones; la SIT es el ente regulador (F05, por verificar en texto oficial).</t>
  </si>
  <si>
    <t xml:space="preserve">Se opera bajo una empresa con registro ante la SIT; el servicio se presta como acceso a internet de banda ancha.</t>
  </si>
  <si>
    <t xml:space="preserve">Tabla Nacional de Atribución de Frecuencias (TNAF)</t>
  </si>
  <si>
    <t xml:space="preserve">La SIT administra la TNAF (F06). Referencia regional: 5725–5850 MHz figura como banda 5 GHz usable en Guatemala; límites de potencia y certificación deben confirmarse en la TNAF vigente (F28, por verificar).</t>
  </si>
  <si>
    <t xml:space="preserve">Los tres canales (5745/5785/5825 MHz, 20 MHz) quedan dentro de 5725–5850 MHz; equipos con certificación FCC/CE; potencia total dentro del límite aplicable (por verificar).</t>
  </si>
  <si>
    <t xml:space="preserve">Registro de operador y servicio</t>
  </si>
  <si>
    <t xml:space="preserve">Los prestadores de servicios inscriben ante el Registro de Telecomunicaciones (ORC) (F04).</t>
  </si>
  <si>
    <t xml:space="preserve">La empresa operadora inscribe el servicio y la aldea como zona de cobertura.</t>
  </si>
  <si>
    <t xml:space="preserve">Starlink</t>
  </si>
  <si>
    <t xml:space="preserve">La SIT autorizó Starlink en mayo de 2023 (F02); el servicio es comercial con planes Business en Guatemala (F08).</t>
  </si>
  <si>
    <t xml:space="preserve">El backhaul se contrata como cliente Business (Prioridad Local); no se revende sin registro del servicio.</t>
  </si>
  <si>
    <t xml:space="preserve">Uso del terreno de la torre</t>
  </si>
  <si>
    <t xml:space="preserve">Se requiere autorización del propietario o de la comunidad (usufructo/servidumbre) y permisos municipales.</t>
  </si>
  <si>
    <t xml:space="preserve">Acuerdo con la COCODE/alcalde auxiliar para el claro central; obra civil con permiso municipal de Chisec.</t>
  </si>
  <si>
    <t xml:space="preserve">Seguridad de la torre</t>
  </si>
  <si>
    <t xml:space="preserve">Cimentación, vientos y pararrayos calculados por un profesional; señalización si aplica (aviación civil, por verificar).</t>
  </si>
  <si>
    <t xml:space="preserve">Torre ventada de 30 m con pararrayos y puesta a tierra incluidos en el CAPEX.</t>
  </si>
  <si>
    <t xml:space="preserve">Sanciones</t>
  </si>
  <si>
    <t xml:space="preserve">La LGT prevé multas por operar sin título o fuera de la banda (art. 81, F05, por verificar).</t>
  </si>
  <si>
    <t xml:space="preserve">Operación solo en banda atribuida y con registro; plan de frecuencias documentado en esta memoria.</t>
  </si>
  <si>
    <t xml:space="preserve">Fuentes y trazabilidad</t>
  </si>
  <si>
    <t xml:space="preserve">Copia de 14_fuentes/FUENTES.md (se actualizó con F28–F30).</t>
  </si>
  <si>
    <t xml:space="preserve">ID</t>
  </si>
  <si>
    <t xml:space="preserve">Dato usado</t>
  </si>
  <si>
    <t xml:space="preserve">Fuente</t>
  </si>
  <si>
    <t xml:space="preserve">Consulta</t>
  </si>
  <si>
    <t xml:space="preserve">Estado</t>
  </si>
  <si>
    <t xml:space="preserve">F01</t>
  </si>
  <si>
    <t xml:space="preserve">Planes Starlink GT: Lite Q365, Max Q545, Roam 100GB Q410, Roam Ilimitado Q820</t>
  </si>
  <si>
    <t xml:space="preserve">https://livinginguatemala.com/digital-nomad/starlink-in-guatemala/</t>
  </si>
  <si>
    <t xml:space="preserve">22-oct-2026</t>
  </si>
  <si>
    <t xml:space="preserve">Secundaria; confirmar en starlink.com/gt</t>
  </si>
  <si>
    <t xml:space="preserve">F02</t>
  </si>
  <si>
    <t xml:space="preserve">Lanzamiento 14-jul-2023; SIT autorizó 19-may-2023</t>
  </si>
  <si>
    <t xml:space="preserve">https://www.revistaeyn.com/tecnologia-cultura-digital/starlink-llega-a-guatemala-con-precios-especiales-DC14436342</t>
  </si>
  <si>
    <t xml:space="preserve">Prensa</t>
  </si>
  <si>
    <t xml:space="preserve">F03</t>
  </si>
  <si>
    <t xml:space="preserve">Alza de precios Starlink 2026 (EE. UU.)</t>
  </si>
  <si>
    <t xml:space="preserve">https://www.satelliteinternet.com/resources/starlink-2026-price-increase/</t>
  </si>
  <si>
    <t xml:space="preserve">Solo contexto</t>
  </si>
  <si>
    <t xml:space="preserve">F04</t>
  </si>
  <si>
    <t xml:space="preserve">Requisitos servicios satelitales (licencia, usuario de facilidades, registro ORC)</t>
  </si>
  <si>
    <t xml:space="preserve">https://www.bloomberglinea.com/2022/11/16/starlink-de-elon-musk-en-guatemala-que-necesita-para-que-pueda-operar/</t>
  </si>
  <si>
    <t xml:space="preserve">Artículo 2022; verificar en SIT</t>
  </si>
  <si>
    <t xml:space="preserve">F05</t>
  </si>
  <si>
    <t xml:space="preserve">Decreto 94-96, Acuerdo Gubernativo 574-98, art. 81 sanciones</t>
  </si>
  <si>
    <t xml:space="preserve">https://livinginguatemala.com/guides/satellite-messengers-guatemala</t>
  </si>
  <si>
    <t xml:space="preserve">Secundaria; verificar texto oficial</t>
  </si>
  <si>
    <t xml:space="preserve">F06</t>
  </si>
  <si>
    <t xml:space="preserve">TNAF administrada por SIT</t>
  </si>
  <si>
    <t xml:space="preserve">https://dplnews.com/?p=270771</t>
  </si>
  <si>
    <t xml:space="preserve">F07</t>
  </si>
  <si>
    <t xml:space="preserve">Censo 2018: 29 % usa Internet (7+ años); brechas departamentales</t>
  </si>
  <si>
    <t xml:space="preserve">https://dplnews.com/censo-refleja-brechas-en-el-uso-de-internet/</t>
  </si>
  <si>
    <t xml:space="preserve">Starlink Business GT, Prioridad Local: 50 GB Q310, 500 GB Q870, 1 TB Q1,570, 2 TB Q2,970; +50 GB Q140. Prioridad Global: 50 GB Q1,920, 500 GB Q5,000, 1 TB Q8,850, 2 TB Q16,550</t>
  </si>
  <si>
    <t xml:space="preserve">Captura propia starlink.com, 23-oct-2026 (`evidencias/starlink_business_planes_prioridad.png`)</t>
  </si>
  <si>
    <t xml:space="preserve">23-oct-2026</t>
  </si>
  <si>
    <t xml:space="preserve">Primaria</t>
  </si>
  <si>
    <t xml:space="preserve">F09</t>
  </si>
  <si>
    <t xml:space="preserve">Disponibilidad "Disponible ahora"; descarga 145–276 Mbps en 15.88908, -90.53177</t>
  </si>
  <si>
    <t xml:space="preserve">Capturas propias starlink.com (`evidencias/starlink_*_babilonia.png`)</t>
  </si>
  <si>
    <t xml:space="preserve">F10</t>
  </si>
  <si>
    <t xml:space="preserve">Ubicación y entorno de Babilonia, Chisec</t>
  </si>
  <si>
    <t xml:space="preserve">Capturas Google Maps (`evidencias/maps_*`)</t>
  </si>
  <si>
    <t xml:space="preserve">Starlink en la zona: subida 21–39 Mbps, latencia 22–32 ms</t>
  </si>
  <si>
    <t xml:space="preserve">Capturas propias starlink.com (`evidencias/starlink_subida_*`, `starlink_latencia_*`)</t>
  </si>
  <si>
    <t xml:space="preserve">25-oct-2026</t>
  </si>
  <si>
    <t xml:space="preserve">F12</t>
  </si>
  <si>
    <t xml:space="preserve">Elevaciones (m s. n. m.): centro 206, esquinas 215 / 239 / 227 / 247</t>
  </si>
  <si>
    <t xml:space="preserve">Capturas propias Google Earth (`evidencias/elev_*`)</t>
  </si>
  <si>
    <t xml:space="preserve">F13</t>
  </si>
  <si>
    <t xml:space="preserve">109 casas numeradas y vista oblicua</t>
  </si>
  <si>
    <t xml:space="preserve">Capturas propias Google Earth (`evidencias/casas_numeradas_109.png`, `earth_vista_oblicua_babilonia.png`)</t>
  </si>
  <si>
    <t xml:space="preserve">F14</t>
  </si>
  <si>
    <t xml:space="preserve">Promedio nacional de personas por hogar: 4.5 (2018)</t>
  </si>
  <si>
    <t xml:space="preserve">https://www.ces.uvg.edu.gt/censo2018/documentos/infografias.pdf</t>
  </si>
  <si>
    <t xml:space="preserve">Secundaria (infografía del Censo 2018; no incluye Alta Verapaz)</t>
  </si>
  <si>
    <t xml:space="preserve">F15</t>
  </si>
  <si>
    <t xml:space="preserve">Perfiles de elevación Google Earth P1–P6 (casas 25, 93, 55, 5, 109, 31 ↔ torre): largos 422.2 / 405.9 / 160.0 / 200.9 / 404.8 / 338.2 m; elevaciones mín.–máx. 205.2–237.9 m</t>
  </si>
  <si>
    <t xml:space="preserve">Capturas propias Google Earth (`evidencias/perfil_P*`); digitalizado en `04_propagacion_linkbudget/perfiles_google_earth.json`</t>
  </si>
  <si>
    <t xml:space="preserve">26-oct-2026</t>
  </si>
  <si>
    <t xml:space="preserve">Primaria (digitalización ±0.5 m)</t>
  </si>
  <si>
    <t xml:space="preserve">F16</t>
  </si>
  <si>
    <t xml:space="preserve">Precios de accesorios Starlink línea Personal (Standard 4 / 4X) en GTQ</t>
  </si>
  <si>
    <t xml:space="preserve">Capturas propias starlink.com/gt/public/shop (`evidencias/starlink_accesorios_standard4*.png`); tabla `07_costos/precios_starlink_accesorios_GTQ.csv`</t>
  </si>
  <si>
    <t xml:space="preserve">F17</t>
  </si>
  <si>
    <t xml:space="preserve">Modelo de atenuación por follaje de Weissberger: 1.33·f^0.284·d^0.588 (14 &lt; d ≤ 400 m), 0.45·f^0.284·d (d ≤ 14 m)</t>
  </si>
  <si>
    <t xml:space="preserve">https://arxiv.org/pdf/2511.11449 (Ec. 10); original: Weissberger, 1982 (DTIC ADA118343, https://apps.dtic.mil/sti/pdfs/ADA118343.pdf, no revisado)</t>
  </si>
  <si>
    <t xml:space="preserve">Secundaria; f en GHz y d en m según la formulación original</t>
  </si>
  <si>
    <t xml:space="preserve">F18</t>
  </si>
  <si>
    <t xml:space="preserve">Starlink Performance (Gen 3): 75–100 W medio, 100–240 V, −40 a 60 °C, IP68/IP69K, FOV 140°, 609×396×40 mm, 5.2 kg</t>
  </si>
  <si>
    <t xml:space="preserve">https://www.speedcast.com/shop/starlink-performance-gen3-kit/</t>
  </si>
  <si>
    <t xml:space="preserve">Distribuidor (sin precio)</t>
  </si>
  <si>
    <t xml:space="preserve">F19</t>
  </si>
  <si>
    <t xml:space="preserve">Rebaja Performance: US$1,499 → US$999 (jul-2025, hasta el 7 jul o agotar existencias)</t>
  </si>
  <si>
    <t xml:space="preserve">https://www.notebookcheck.org/Starlink-baja-el-precio-del-plato-Performance-en-500-dolares-para-hacer-sitio-al-modelo-de-velocidad-gigabit.1050831.0.html</t>
  </si>
  <si>
    <t xml:space="preserve">Prensa (precio vigente en 2026 no verificado)</t>
  </si>
  <si>
    <t xml:space="preserve">F20</t>
  </si>
  <si>
    <t xml:space="preserve">Lanzamiento Performance: US$1,999, ≈ 70 W, IP69K, puerto Ethernet para routers de terceros, 470/48 Mbps</t>
  </si>
  <si>
    <t xml:space="preserve">https://www.enter.co/?p=573336</t>
  </si>
  <si>
    <t xml:space="preserve">Prensa (jun-2025)</t>
  </si>
  <si>
    <t xml:space="preserve">F21</t>
  </si>
  <si>
    <t xml:space="preserve">Consumo Starlink: Gen 3 Standard 75–100 W medio, ≈ 20 W en reposo; Gen 2 High Performance 110–150 W</t>
  </si>
  <si>
    <t xml:space="preserve">https://www.dishytech.com/how-much-power-does-starlink-use/</t>
  </si>
  <si>
    <t xml:space="preserve">Secundaria</t>
  </si>
  <si>
    <t xml:space="preserve">F22</t>
  </si>
  <si>
    <t xml:space="preserve">Tipo de cambio: 7.6445 GTQ por USD (26-oct-2026)</t>
  </si>
  <si>
    <t xml:space="preserve">https://ru.tradingeconomics.com/usdgtq:cur</t>
  </si>
  <si>
    <t xml:space="preserve">Secundaria (referencia Banguat no obtenida)</t>
  </si>
  <si>
    <t xml:space="preserve">F23</t>
  </si>
  <si>
    <t xml:space="preserve">Accesorios Starlink línea Empresas Performance (Gen 3) y categorías de la tienda</t>
  </si>
  <si>
    <t xml:space="preserve">Capturas propias (`evidencias/starlink_accesorios_performance_gen3.png`, `starlink_tienda_categorias.png`); tabla `07_costos/precios_starlink_accesorios_GTQ.csv`</t>
  </si>
  <si>
    <t xml:space="preserve">Rocket Prism 5AC Gen2: 28 dBm, sensibilidad por MCS, 9.5 W</t>
  </si>
  <si>
    <t xml:space="preserve">https://www.netxl.com/ubiquiti/docs/Rocket%20Prism%20AC%20Gen2%20Datasheet.pdf</t>
  </si>
  <si>
    <t xml:space="preserve">Hoja de datos (distribuidor)</t>
  </si>
  <si>
    <t xml:space="preserve">F25</t>
  </si>
  <si>
    <t xml:space="preserve">AM-5G16-120: 15–16 dBi, 137°/118°, 8° elev., VSWR 1.5, 1.1 kg, US$79</t>
  </si>
  <si>
    <t xml:space="preserve">https://uk.store.ui.com/uk/en/products/am-5g1</t>
  </si>
  <si>
    <t xml:space="preserve">Tienda del fabricante</t>
  </si>
  <si>
    <t xml:space="preserve">F26</t>
  </si>
  <si>
    <t xml:space="preserve">AM-5G19-120: 18.6–19.1 dBi, 4° elev., 5.9 kg</t>
  </si>
  <si>
    <t xml:space="preserve">csd.com.au, 4cabling</t>
  </si>
  <si>
    <t xml:space="preserve">Distribuidor</t>
  </si>
  <si>
    <t xml:space="preserve">F27</t>
  </si>
  <si>
    <t xml:space="preserve">LiteBeam 5AC Gen2: 23 dBi, 25 dBm, −96 dBm, 7 W, US$64.83</t>
  </si>
  <si>
    <t xml:space="preserve">https://store.ui.com; CDW</t>
  </si>
  <si>
    <t xml:space="preserve">Fabricante/distribuidor</t>
  </si>
  <si>
    <t xml:space="preserve">F28</t>
  </si>
  <si>
    <t xml:space="preserve">Bandas 5 GHz de Guatemala según referencia regional: 5150–5250, 5250–5350, 5725–5850 MHz (potencia, EIRP y DFS por verificar en TNAF vigente)</t>
  </si>
  <si>
    <t xml:space="preserve">https://flyteccomputers.com/blog/5-ghz-frequency-reference-for-latin-america-and-the-caribbean/</t>
  </si>
  <si>
    <t xml:space="preserve">27-oct-2026</t>
  </si>
  <si>
    <t xml:space="preserve">Secundaria; TNAF oficial no accesible</t>
  </si>
  <si>
    <t xml:space="preserve">F29</t>
  </si>
  <si>
    <t xml:space="preserve">Batería LiFePO4 Relion RB48V100: 51.2 V, 100 Ah, 5.12 kWh, US$3,495.95</t>
  </si>
  <si>
    <t xml:space="preserve">https://www.solar-electric.com/relion-rb48v100-lithium-ion-battery-48v.html</t>
  </si>
  <si>
    <t xml:space="preserve">F30</t>
  </si>
  <si>
    <t xml:space="preserve">Panel solar 550 W, 144 celdas monocristalino (formato estándar); precio US$165 es estimación</t>
  </si>
  <si>
    <t xml:space="preserve">https://a1solarstore.com/solar-panels/550-watt-solar-panels.html?page_id=93</t>
  </si>
  <si>
    <t xml:space="preserve">Solo formato; precio estimado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</si>
</sst>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0.0"/>
    <numFmt numFmtId="167" formatCode="0.0%"/>
    <numFmt numFmtId="168" formatCode="0%"/>
    <numFmt numFmtId="169" formatCode="#,##0"/>
    <numFmt numFmtId="170" formatCode="#,##0.0"/>
    <numFmt numFmtId="171" formatCode="0.000"/>
    <numFmt numFmtId="172" formatCode="0.00"/>
    <numFmt numFmtId="173" formatCode="0.0000"/>
    <numFmt numFmtId="174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3" min="3" style="0" width="6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COUNT(Enlace_por_casa!$A$5:$A$113)</f>
        <v>109</v>
      </c>
      <c r="C5" s="6" t="s">
        <v>6</v>
      </c>
    </row>
    <row r="6" customFormat="false" ht="15" hidden="false" customHeight="false" outlineLevel="0" collapsed="false">
      <c r="A6" s="4" t="s">
        <v>7</v>
      </c>
      <c r="B6" s="5" t="n">
        <f aca="false">95*4</f>
        <v>380</v>
      </c>
      <c r="C6" s="6" t="s">
        <v>8</v>
      </c>
    </row>
    <row r="7" customFormat="false" ht="15" hidden="false" customHeight="false" outlineLevel="0" collapsed="false">
      <c r="A7" s="4" t="s">
        <v>9</v>
      </c>
      <c r="B7" s="5" t="n">
        <f aca="false">Supuestos!$C$7</f>
        <v>30</v>
      </c>
      <c r="C7" s="6" t="s">
        <v>10</v>
      </c>
    </row>
    <row r="8" customFormat="false" ht="15" hidden="false" customHeight="false" outlineLevel="0" collapsed="false">
      <c r="A8" s="4" t="s">
        <v>11</v>
      </c>
      <c r="B8" s="5" t="n">
        <f aca="false">MAX(Enlace_por_casa!$C$5:$C$113)</f>
        <v>420.5</v>
      </c>
      <c r="C8" s="6"/>
    </row>
    <row r="9" customFormat="false" ht="15" hidden="false" customHeight="false" outlineLevel="0" collapsed="false">
      <c r="A9" s="4" t="s">
        <v>12</v>
      </c>
      <c r="B9" s="5" t="n">
        <f aca="false">COUNTIF(Enlace_por_casa!$X$5:$X$113,"&lt;&gt;ninguno")</f>
        <v>109</v>
      </c>
      <c r="C9" s="6" t="s">
        <v>13</v>
      </c>
    </row>
    <row r="10" customFormat="false" ht="15" hidden="false" customHeight="false" outlineLevel="0" collapsed="false">
      <c r="A10" s="4" t="s">
        <v>14</v>
      </c>
      <c r="B10" s="5" t="n">
        <f aca="false">COUNTIF(Enlace_por_casa!$Z$5:$Z$113,"&gt;0")</f>
        <v>109</v>
      </c>
      <c r="C10" s="6"/>
    </row>
    <row r="11" customFormat="false" ht="15" hidden="false" customHeight="false" outlineLevel="0" collapsed="false">
      <c r="A11" s="4" t="s">
        <v>15</v>
      </c>
      <c r="B11" s="7" t="n">
        <f aca="false">MIN(Enlace_por_casa!$T$5:$T$113)</f>
        <v>16.4017802301405</v>
      </c>
      <c r="C11" s="6"/>
    </row>
    <row r="12" customFormat="false" ht="15" hidden="false" customHeight="false" outlineLevel="0" collapsed="false">
      <c r="A12" s="4" t="s">
        <v>16</v>
      </c>
      <c r="B12" s="7" t="n">
        <f aca="false">MIN(Enlace_por_casa!$U$5:$U$113)</f>
        <v>13.4017802301405</v>
      </c>
      <c r="C12" s="6" t="s">
        <v>17</v>
      </c>
    </row>
    <row r="13" customFormat="false" ht="15" hidden="false" customHeight="false" outlineLevel="0" collapsed="false">
      <c r="A13" s="4" t="s">
        <v>18</v>
      </c>
      <c r="B13" s="7" t="n">
        <f aca="false">MEDIAN(Enlace_por_casa!$T$5:$T$113)</f>
        <v>45.1468063186394</v>
      </c>
      <c r="C13" s="6"/>
    </row>
    <row r="14" customFormat="false" ht="15" hidden="false" customHeight="false" outlineLevel="0" collapsed="false">
      <c r="A14" s="4" t="s">
        <v>19</v>
      </c>
      <c r="B14" s="7" t="n">
        <f aca="false">MAX(Enlace_por_casa!$R$5:$R$113)</f>
        <v>41.2142863305049</v>
      </c>
      <c r="C14" s="6" t="s">
        <v>20</v>
      </c>
    </row>
    <row r="15" customFormat="false" ht="15" hidden="false" customHeight="false" outlineLevel="0" collapsed="false">
      <c r="A15" s="4" t="s">
        <v>21</v>
      </c>
      <c r="B15" s="8" t="n">
        <f aca="false">MAX(Capacidad!D5:D7)</f>
        <v>0.483550295857988</v>
      </c>
      <c r="C15" s="6" t="s">
        <v>22</v>
      </c>
    </row>
    <row r="16" customFormat="false" ht="15" hidden="false" customHeight="false" outlineLevel="0" collapsed="false">
      <c r="A16" s="4" t="s">
        <v>23</v>
      </c>
      <c r="B16" s="9" t="n">
        <f aca="false">Capacidad!C26</f>
        <v>0.675862068965517</v>
      </c>
      <c r="C16" s="6" t="s">
        <v>24</v>
      </c>
    </row>
    <row r="17" customFormat="false" ht="15" hidden="false" customHeight="false" outlineLevel="0" collapsed="false">
      <c r="A17" s="4" t="s">
        <v>25</v>
      </c>
      <c r="B17" s="5" t="n">
        <f aca="false">Energia!$D$9</f>
        <v>157.85</v>
      </c>
      <c r="C17" s="6"/>
    </row>
    <row r="18" customFormat="false" ht="15" hidden="false" customHeight="false" outlineLevel="0" collapsed="false">
      <c r="A18" s="4" t="s">
        <v>26</v>
      </c>
      <c r="B18" s="6" t="str">
        <f aca="false">Energia!$D$20&amp;" × 550 W / "&amp;Energia!$D$15&amp;" × 5.12 kWh"</f>
        <v>3 × 550 W / 2 × 5.12 kWh</v>
      </c>
      <c r="C18" s="6" t="s">
        <v>27</v>
      </c>
    </row>
    <row r="19" customFormat="false" ht="15" hidden="false" customHeight="false" outlineLevel="0" collapsed="false">
      <c r="A19" s="4" t="s">
        <v>28</v>
      </c>
      <c r="B19" s="10" t="n">
        <f aca="false">BOM_CAPEX!$H$33</f>
        <v>396925.25229995</v>
      </c>
      <c r="C19" s="6" t="s">
        <v>29</v>
      </c>
    </row>
    <row r="20" customFormat="false" ht="15" hidden="false" customHeight="false" outlineLevel="0" collapsed="false">
      <c r="A20" s="4" t="s">
        <v>30</v>
      </c>
      <c r="B20" s="10" t="n">
        <f aca="false">BOM_CAPEX!$H$36</f>
        <v>4050.2576765301</v>
      </c>
      <c r="C20" s="6"/>
    </row>
    <row r="21" customFormat="false" ht="15" hidden="false" customHeight="false" outlineLevel="0" collapsed="false">
      <c r="A21" s="4" t="s">
        <v>31</v>
      </c>
      <c r="B21" s="10" t="n">
        <f aca="false">OPEX_Tarifa!C18</f>
        <v>8532.80808497904</v>
      </c>
      <c r="C21" s="6"/>
    </row>
    <row r="22" customFormat="false" ht="15" hidden="false" customHeight="false" outlineLevel="0" collapsed="false">
      <c r="A22" s="4" t="s">
        <v>32</v>
      </c>
      <c r="B22" s="11" t="n">
        <f aca="false">OPEX_Tarifa!C20</f>
        <v>87.0694702548882</v>
      </c>
      <c r="C22" s="6"/>
    </row>
    <row r="23" customFormat="false" ht="15" hidden="false" customHeight="false" outlineLevel="0" collapsed="false">
      <c r="A23" s="4" t="s">
        <v>33</v>
      </c>
      <c r="B23" s="11" t="n">
        <f aca="false">OPEX_Tarifa!C22</f>
        <v>154.573764863723</v>
      </c>
      <c r="C23" s="6" t="s">
        <v>34</v>
      </c>
    </row>
    <row r="25" customFormat="false" ht="15" hidden="false" customHeight="false" outlineLevel="0" collapsed="false">
      <c r="A25" s="12" t="s">
        <v>35</v>
      </c>
    </row>
    <row r="26" customFormat="false" ht="15" hidden="false" customHeight="false" outlineLevel="0" collapsed="false">
      <c r="A26" s="4" t="s">
        <v>36</v>
      </c>
      <c r="B26" s="6" t="s">
        <v>37</v>
      </c>
      <c r="C26" s="6"/>
    </row>
    <row r="27" customFormat="false" ht="15" hidden="false" customHeight="false" outlineLevel="0" collapsed="false">
      <c r="A27" s="4" t="s">
        <v>38</v>
      </c>
      <c r="B27" s="6" t="s">
        <v>39</v>
      </c>
      <c r="C27" s="6"/>
    </row>
    <row r="28" customFormat="false" ht="15" hidden="false" customHeight="false" outlineLevel="0" collapsed="false">
      <c r="A28" s="4" t="s">
        <v>40</v>
      </c>
      <c r="B28" s="6" t="s">
        <v>41</v>
      </c>
      <c r="C28" s="6"/>
    </row>
    <row r="29" customFormat="false" ht="15" hidden="false" customHeight="false" outlineLevel="0" collapsed="false">
      <c r="A29" s="4" t="s">
        <v>42</v>
      </c>
      <c r="B29" s="6" t="s">
        <v>43</v>
      </c>
      <c r="C29" s="6"/>
    </row>
    <row r="30" customFormat="false" ht="15" hidden="false" customHeight="false" outlineLevel="0" collapsed="false">
      <c r="A30" s="4" t="s">
        <v>44</v>
      </c>
      <c r="B30" s="6" t="s">
        <v>45</v>
      </c>
      <c r="C30" s="6"/>
    </row>
    <row r="31" customFormat="false" ht="15" hidden="false" customHeight="false" outlineLevel="0" collapsed="false">
      <c r="A31" s="4" t="s">
        <v>46</v>
      </c>
      <c r="B31" s="6" t="s">
        <v>47</v>
      </c>
      <c r="C31" s="6"/>
    </row>
    <row r="32" customFormat="false" ht="15" hidden="false" customHeight="false" outlineLevel="0" collapsed="false">
      <c r="A32" s="4" t="s">
        <v>48</v>
      </c>
      <c r="B32" s="6" t="s">
        <v>49</v>
      </c>
      <c r="C32" s="6"/>
    </row>
    <row r="33" customFormat="false" ht="15" hidden="false" customHeight="false" outlineLevel="0" collapsed="false">
      <c r="A33" s="4" t="s">
        <v>29</v>
      </c>
      <c r="B33" s="6" t="s">
        <v>50</v>
      </c>
      <c r="C33" s="6"/>
    </row>
    <row r="34" customFormat="false" ht="15" hidden="false" customHeight="false" outlineLevel="0" collapsed="false">
      <c r="A34" s="4" t="s">
        <v>51</v>
      </c>
      <c r="B34" s="6" t="s">
        <v>52</v>
      </c>
      <c r="C34" s="6"/>
    </row>
    <row r="35" customFormat="false" ht="15" hidden="false" customHeight="false" outlineLevel="0" collapsed="false">
      <c r="A35" s="4" t="s">
        <v>53</v>
      </c>
      <c r="B35" s="6" t="s">
        <v>54</v>
      </c>
      <c r="C35" s="6"/>
    </row>
    <row r="36" customFormat="false" ht="15" hidden="false" customHeight="false" outlineLevel="0" collapsed="false">
      <c r="A36" s="4" t="s">
        <v>55</v>
      </c>
      <c r="B36" s="6" t="s">
        <v>56</v>
      </c>
      <c r="C36" s="6"/>
    </row>
  </sheetData>
  <mergeCells count="11"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58</v>
      </c>
    </row>
    <row r="4" customFormat="false" ht="15" hidden="false" customHeight="false" outlineLevel="0" collapsed="false">
      <c r="A4" s="3" t="s">
        <v>59</v>
      </c>
      <c r="B4" s="3"/>
      <c r="C4" s="3" t="s">
        <v>3</v>
      </c>
      <c r="D4" s="3" t="s">
        <v>60</v>
      </c>
      <c r="E4" s="3" t="s">
        <v>61</v>
      </c>
    </row>
    <row r="5" customFormat="false" ht="15" hidden="false" customHeight="false" outlineLevel="0" collapsed="false">
      <c r="A5" s="4" t="s">
        <v>62</v>
      </c>
      <c r="C5" s="13" t="n">
        <v>5.8</v>
      </c>
      <c r="D5" s="6" t="s">
        <v>63</v>
      </c>
      <c r="E5" s="14" t="s">
        <v>64</v>
      </c>
    </row>
    <row r="6" customFormat="false" ht="15" hidden="false" customHeight="false" outlineLevel="0" collapsed="false">
      <c r="A6" s="4" t="s">
        <v>65</v>
      </c>
      <c r="C6" s="6" t="n">
        <f aca="false">299792458/(C5*1000000000)</f>
        <v>0.0516883548275862</v>
      </c>
      <c r="D6" s="6" t="s">
        <v>66</v>
      </c>
      <c r="E6" s="14" t="s">
        <v>67</v>
      </c>
    </row>
    <row r="7" customFormat="false" ht="15" hidden="false" customHeight="false" outlineLevel="0" collapsed="false">
      <c r="A7" s="4" t="s">
        <v>68</v>
      </c>
      <c r="C7" s="15" t="n">
        <v>30</v>
      </c>
      <c r="D7" s="6" t="s">
        <v>66</v>
      </c>
      <c r="E7" s="14" t="s">
        <v>69</v>
      </c>
    </row>
    <row r="8" customFormat="false" ht="15" hidden="false" customHeight="false" outlineLevel="0" collapsed="false">
      <c r="A8" s="4" t="s">
        <v>70</v>
      </c>
      <c r="C8" s="13" t="n">
        <v>206</v>
      </c>
      <c r="D8" s="6" t="s">
        <v>71</v>
      </c>
      <c r="E8" s="14" t="s">
        <v>72</v>
      </c>
    </row>
    <row r="9" customFormat="false" ht="15" hidden="false" customHeight="false" outlineLevel="0" collapsed="false">
      <c r="A9" s="4" t="s">
        <v>73</v>
      </c>
      <c r="C9" s="13" t="n">
        <v>6</v>
      </c>
      <c r="D9" s="6" t="s">
        <v>66</v>
      </c>
      <c r="E9" s="14" t="s">
        <v>74</v>
      </c>
    </row>
    <row r="10" customFormat="false" ht="15" hidden="false" customHeight="false" outlineLevel="0" collapsed="false">
      <c r="A10" s="4" t="s">
        <v>75</v>
      </c>
      <c r="C10" s="13" t="n">
        <v>23</v>
      </c>
      <c r="D10" s="6" t="s">
        <v>76</v>
      </c>
      <c r="E10" s="14" t="s">
        <v>77</v>
      </c>
    </row>
    <row r="11" customFormat="false" ht="15" hidden="false" customHeight="false" outlineLevel="0" collapsed="false">
      <c r="A11" s="4" t="s">
        <v>78</v>
      </c>
      <c r="C11" s="13" t="n">
        <v>0.5</v>
      </c>
      <c r="D11" s="6" t="s">
        <v>79</v>
      </c>
      <c r="E11" s="14" t="s">
        <v>80</v>
      </c>
    </row>
    <row r="12" customFormat="false" ht="15" hidden="false" customHeight="false" outlineLevel="0" collapsed="false">
      <c r="A12" s="4" t="s">
        <v>81</v>
      </c>
      <c r="C12" s="13" t="n">
        <v>1</v>
      </c>
      <c r="D12" s="6" t="s">
        <v>79</v>
      </c>
      <c r="E12" s="14" t="s">
        <v>80</v>
      </c>
    </row>
    <row r="13" customFormat="false" ht="15" hidden="false" customHeight="false" outlineLevel="0" collapsed="false">
      <c r="A13" s="4" t="s">
        <v>82</v>
      </c>
      <c r="C13" s="13" t="n">
        <v>0.3</v>
      </c>
      <c r="D13" s="6" t="s">
        <v>79</v>
      </c>
      <c r="E13" s="14" t="s">
        <v>83</v>
      </c>
    </row>
    <row r="14" customFormat="false" ht="15" hidden="false" customHeight="false" outlineLevel="0" collapsed="false">
      <c r="A14" s="4" t="s">
        <v>84</v>
      </c>
      <c r="C14" s="15" t="n">
        <v>3</v>
      </c>
      <c r="D14" s="6" t="s">
        <v>79</v>
      </c>
      <c r="E14" s="14" t="s">
        <v>85</v>
      </c>
    </row>
    <row r="15" customFormat="false" ht="15" hidden="false" customHeight="false" outlineLevel="0" collapsed="false">
      <c r="A15" s="4" t="s">
        <v>86</v>
      </c>
      <c r="C15" s="13" t="n">
        <v>3</v>
      </c>
      <c r="D15" s="6" t="s">
        <v>79</v>
      </c>
      <c r="E15" s="14" t="s">
        <v>87</v>
      </c>
    </row>
    <row r="16" customFormat="false" ht="15" hidden="false" customHeight="false" outlineLevel="0" collapsed="false">
      <c r="A16" s="4" t="s">
        <v>88</v>
      </c>
      <c r="C16" s="15" t="n">
        <v>10</v>
      </c>
      <c r="D16" s="6" t="s">
        <v>79</v>
      </c>
      <c r="E16" s="14" t="s">
        <v>89</v>
      </c>
    </row>
    <row r="17" customFormat="false" ht="15" hidden="false" customHeight="false" outlineLevel="0" collapsed="false">
      <c r="A17" s="4" t="s">
        <v>90</v>
      </c>
      <c r="C17" s="15" t="n">
        <v>0.65</v>
      </c>
      <c r="D17" s="6"/>
      <c r="E17" s="14" t="s">
        <v>80</v>
      </c>
    </row>
    <row r="18" customFormat="false" ht="15" hidden="false" customHeight="false" outlineLevel="0" collapsed="false">
      <c r="A18" s="4" t="s">
        <v>91</v>
      </c>
      <c r="C18" s="15" t="n">
        <v>0.75</v>
      </c>
      <c r="D18" s="6"/>
      <c r="E18" s="14" t="s">
        <v>80</v>
      </c>
    </row>
    <row r="19" customFormat="false" ht="15" hidden="false" customHeight="false" outlineLevel="0" collapsed="false">
      <c r="A19" s="4" t="s">
        <v>92</v>
      </c>
      <c r="C19" s="13" t="n">
        <v>15.5</v>
      </c>
      <c r="D19" s="6" t="s">
        <v>76</v>
      </c>
      <c r="E19" s="14" t="s">
        <v>93</v>
      </c>
    </row>
    <row r="20" customFormat="false" ht="15" hidden="false" customHeight="false" outlineLevel="0" collapsed="false">
      <c r="A20" s="4" t="s">
        <v>94</v>
      </c>
      <c r="C20" s="13" t="n">
        <v>137</v>
      </c>
      <c r="D20" s="6" t="s">
        <v>95</v>
      </c>
      <c r="E20" s="14" t="s">
        <v>96</v>
      </c>
    </row>
    <row r="21" customFormat="false" ht="15" hidden="false" customHeight="false" outlineLevel="0" collapsed="false">
      <c r="A21" s="4" t="s">
        <v>97</v>
      </c>
      <c r="C21" s="13" t="n">
        <v>4</v>
      </c>
      <c r="D21" s="6" t="s">
        <v>95</v>
      </c>
      <c r="E21" s="14" t="s">
        <v>96</v>
      </c>
    </row>
    <row r="22" customFormat="false" ht="15" hidden="false" customHeight="false" outlineLevel="0" collapsed="false">
      <c r="A22" s="4" t="s">
        <v>98</v>
      </c>
      <c r="C22" s="15" t="n">
        <v>0</v>
      </c>
      <c r="D22" s="6" t="s">
        <v>95</v>
      </c>
      <c r="E22" s="14" t="s">
        <v>99</v>
      </c>
    </row>
    <row r="23" customFormat="false" ht="15" hidden="false" customHeight="false" outlineLevel="0" collapsed="false">
      <c r="A23" s="4" t="s">
        <v>100</v>
      </c>
      <c r="C23" s="13" t="n">
        <v>0.367</v>
      </c>
      <c r="D23" s="6" t="s">
        <v>66</v>
      </c>
      <c r="E23" s="14" t="s">
        <v>101</v>
      </c>
    </row>
    <row r="24" customFormat="false" ht="15" hidden="false" customHeight="false" outlineLevel="0" collapsed="false">
      <c r="A24" s="4" t="s">
        <v>102</v>
      </c>
      <c r="C24" s="15" t="n">
        <v>25</v>
      </c>
      <c r="D24" s="6" t="s">
        <v>79</v>
      </c>
      <c r="E24" s="14" t="s">
        <v>103</v>
      </c>
    </row>
    <row r="25" customFormat="false" ht="15" hidden="false" customHeight="false" outlineLevel="0" collapsed="false">
      <c r="A25" s="4" t="s">
        <v>104</v>
      </c>
      <c r="C25" s="15" t="n">
        <v>25</v>
      </c>
      <c r="D25" s="6" t="s">
        <v>79</v>
      </c>
      <c r="E25" s="14" t="s">
        <v>105</v>
      </c>
    </row>
    <row r="26" customFormat="false" ht="15" hidden="false" customHeight="false" outlineLevel="0" collapsed="false">
      <c r="A26" s="4" t="s">
        <v>106</v>
      </c>
      <c r="C26" s="13" t="n">
        <v>150</v>
      </c>
      <c r="D26" s="6" t="s">
        <v>95</v>
      </c>
      <c r="E26" s="14" t="s">
        <v>107</v>
      </c>
    </row>
    <row r="27" customFormat="false" ht="15" hidden="false" customHeight="false" outlineLevel="0" collapsed="false">
      <c r="A27" s="6"/>
      <c r="C27" s="13" t="n">
        <v>270</v>
      </c>
      <c r="D27" s="6" t="s">
        <v>95</v>
      </c>
      <c r="E27" s="14" t="s">
        <v>108</v>
      </c>
    </row>
    <row r="28" customFormat="false" ht="15" hidden="false" customHeight="false" outlineLevel="0" collapsed="false">
      <c r="A28" s="6"/>
      <c r="C28" s="13" t="n">
        <v>30</v>
      </c>
      <c r="D28" s="6" t="s">
        <v>95</v>
      </c>
      <c r="E28" s="14" t="s">
        <v>109</v>
      </c>
    </row>
    <row r="29" customFormat="false" ht="15" hidden="false" customHeight="false" outlineLevel="0" collapsed="false">
      <c r="A29" s="4" t="s">
        <v>110</v>
      </c>
      <c r="C29" s="15" t="n">
        <v>0.9</v>
      </c>
      <c r="D29" s="6"/>
      <c r="E29" s="14" t="s">
        <v>111</v>
      </c>
    </row>
    <row r="30" customFormat="false" ht="15" hidden="false" customHeight="false" outlineLevel="0" collapsed="false">
      <c r="A30" s="4" t="s">
        <v>112</v>
      </c>
      <c r="C30" s="13" t="n">
        <v>1</v>
      </c>
      <c r="D30" s="6" t="s">
        <v>113</v>
      </c>
      <c r="E30" s="14" t="s">
        <v>114</v>
      </c>
    </row>
    <row r="31" customFormat="false" ht="15" hidden="false" customHeight="false" outlineLevel="0" collapsed="false">
      <c r="A31" s="4" t="s">
        <v>115</v>
      </c>
      <c r="C31" s="13" t="n">
        <v>0.125</v>
      </c>
      <c r="D31" s="6" t="s">
        <v>113</v>
      </c>
      <c r="E31" s="14" t="s">
        <v>116</v>
      </c>
    </row>
    <row r="32" customFormat="false" ht="15" hidden="false" customHeight="false" outlineLevel="0" collapsed="false">
      <c r="A32" s="4" t="s">
        <v>117</v>
      </c>
      <c r="C32" s="15" t="n">
        <v>7.6445</v>
      </c>
      <c r="D32" s="6" t="s">
        <v>118</v>
      </c>
      <c r="E32" s="14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120</v>
      </c>
    </row>
    <row r="2" customFormat="false" ht="15" hidden="false" customHeight="false" outlineLevel="0" collapsed="false">
      <c r="A2" s="2" t="s">
        <v>121</v>
      </c>
    </row>
    <row r="4" customFormat="false" ht="35.05" hidden="false" customHeight="false" outlineLevel="0" collapsed="false">
      <c r="A4" s="3" t="s">
        <v>122</v>
      </c>
      <c r="B4" s="3" t="s">
        <v>123</v>
      </c>
      <c r="C4" s="3" t="s">
        <v>124</v>
      </c>
      <c r="D4" s="3" t="s">
        <v>125</v>
      </c>
      <c r="E4" s="3" t="s">
        <v>126</v>
      </c>
      <c r="F4" s="3" t="s">
        <v>127</v>
      </c>
      <c r="G4" s="3" t="s">
        <v>128</v>
      </c>
    </row>
    <row r="5" customFormat="false" ht="15" hidden="false" customHeight="false" outlineLevel="0" collapsed="false">
      <c r="A5" s="13" t="s">
        <v>129</v>
      </c>
      <c r="B5" s="13" t="n">
        <v>1</v>
      </c>
      <c r="C5" s="16" t="n">
        <v>0.5</v>
      </c>
      <c r="D5" s="13" t="n">
        <v>-96</v>
      </c>
      <c r="E5" s="13" t="n">
        <v>28</v>
      </c>
      <c r="F5" s="7" t="n">
        <f aca="false">2*52*B5*C5/3.6</f>
        <v>14.4444444444444</v>
      </c>
      <c r="G5" s="7" t="n">
        <f aca="false">D5+Supuestos!$C$14</f>
        <v>-93</v>
      </c>
    </row>
    <row r="6" customFormat="false" ht="15" hidden="false" customHeight="false" outlineLevel="0" collapsed="false">
      <c r="A6" s="13" t="s">
        <v>130</v>
      </c>
      <c r="B6" s="13" t="n">
        <v>2</v>
      </c>
      <c r="C6" s="16" t="n">
        <v>0.5</v>
      </c>
      <c r="D6" s="13" t="n">
        <v>-95</v>
      </c>
      <c r="E6" s="13" t="n">
        <v>28</v>
      </c>
      <c r="F6" s="7" t="n">
        <f aca="false">2*52*B6*C6/3.6</f>
        <v>28.8888888888889</v>
      </c>
      <c r="G6" s="7" t="n">
        <f aca="false">D6+Supuestos!$C$14</f>
        <v>-92</v>
      </c>
    </row>
    <row r="7" customFormat="false" ht="15" hidden="false" customHeight="false" outlineLevel="0" collapsed="false">
      <c r="A7" s="13" t="s">
        <v>131</v>
      </c>
      <c r="B7" s="13" t="n">
        <v>2</v>
      </c>
      <c r="C7" s="16" t="n">
        <v>0.75</v>
      </c>
      <c r="D7" s="13" t="n">
        <v>-92</v>
      </c>
      <c r="E7" s="13" t="n">
        <v>28</v>
      </c>
      <c r="F7" s="7" t="n">
        <f aca="false">2*52*B7*C7/3.6</f>
        <v>43.3333333333333</v>
      </c>
      <c r="G7" s="7" t="n">
        <f aca="false">D7+Supuestos!$C$14</f>
        <v>-89</v>
      </c>
    </row>
    <row r="8" customFormat="false" ht="15" hidden="false" customHeight="false" outlineLevel="0" collapsed="false">
      <c r="A8" s="13" t="s">
        <v>132</v>
      </c>
      <c r="B8" s="13" t="n">
        <v>4</v>
      </c>
      <c r="C8" s="16" t="n">
        <v>0.5</v>
      </c>
      <c r="D8" s="13" t="n">
        <v>-90</v>
      </c>
      <c r="E8" s="13" t="n">
        <v>28</v>
      </c>
      <c r="F8" s="7" t="n">
        <f aca="false">2*52*B8*C8/3.6</f>
        <v>57.7777777777778</v>
      </c>
      <c r="G8" s="7" t="n">
        <f aca="false">D8+Supuestos!$C$14</f>
        <v>-87</v>
      </c>
    </row>
    <row r="9" customFormat="false" ht="15" hidden="false" customHeight="false" outlineLevel="0" collapsed="false">
      <c r="A9" s="13" t="s">
        <v>133</v>
      </c>
      <c r="B9" s="13" t="n">
        <v>4</v>
      </c>
      <c r="C9" s="16" t="n">
        <v>0.75</v>
      </c>
      <c r="D9" s="13" t="n">
        <v>-86</v>
      </c>
      <c r="E9" s="13" t="n">
        <v>28</v>
      </c>
      <c r="F9" s="7" t="n">
        <f aca="false">2*52*B9*C9/3.6</f>
        <v>86.6666666666667</v>
      </c>
      <c r="G9" s="7" t="n">
        <f aca="false">D9+Supuestos!$C$14</f>
        <v>-83</v>
      </c>
    </row>
    <row r="10" customFormat="false" ht="15" hidden="false" customHeight="false" outlineLevel="0" collapsed="false">
      <c r="A10" s="13" t="s">
        <v>134</v>
      </c>
      <c r="B10" s="13" t="n">
        <v>6</v>
      </c>
      <c r="C10" s="16" t="n">
        <v>0.666666666666667</v>
      </c>
      <c r="D10" s="13" t="n">
        <v>-83</v>
      </c>
      <c r="E10" s="13" t="n">
        <v>28</v>
      </c>
      <c r="F10" s="7" t="n">
        <f aca="false">2*52*B10*C10/3.6</f>
        <v>115.555555555556</v>
      </c>
      <c r="G10" s="7" t="n">
        <f aca="false">D10+Supuestos!$C$14</f>
        <v>-80</v>
      </c>
    </row>
    <row r="11" customFormat="false" ht="15" hidden="false" customHeight="false" outlineLevel="0" collapsed="false">
      <c r="A11" s="13" t="s">
        <v>135</v>
      </c>
      <c r="B11" s="13" t="n">
        <v>6</v>
      </c>
      <c r="C11" s="16" t="n">
        <v>0.75</v>
      </c>
      <c r="D11" s="13" t="n">
        <v>-77</v>
      </c>
      <c r="E11" s="13" t="n">
        <v>27</v>
      </c>
      <c r="F11" s="7" t="n">
        <f aca="false">2*52*B11*C11/3.6</f>
        <v>130</v>
      </c>
      <c r="G11" s="7" t="n">
        <f aca="false">D11+Supuestos!$C$14</f>
        <v>-74</v>
      </c>
    </row>
    <row r="12" customFormat="false" ht="15" hidden="false" customHeight="false" outlineLevel="0" collapsed="false">
      <c r="A12" s="13" t="s">
        <v>136</v>
      </c>
      <c r="B12" s="13" t="n">
        <v>6</v>
      </c>
      <c r="C12" s="16" t="n">
        <v>0.833333333333333</v>
      </c>
      <c r="D12" s="13" t="n">
        <v>-74</v>
      </c>
      <c r="E12" s="13" t="n">
        <v>26</v>
      </c>
      <c r="F12" s="7" t="n">
        <f aca="false">2*52*B12*C12/3.6</f>
        <v>144.444444444444</v>
      </c>
      <c r="G12" s="7" t="n">
        <f aca="false">D12+Supuestos!$C$14</f>
        <v>-71</v>
      </c>
    </row>
    <row r="13" customFormat="false" ht="15" hidden="false" customHeight="false" outlineLevel="0" collapsed="false">
      <c r="A13" s="13" t="s">
        <v>137</v>
      </c>
      <c r="B13" s="13" t="n">
        <v>8</v>
      </c>
      <c r="C13" s="16" t="n">
        <v>0.75</v>
      </c>
      <c r="D13" s="13" t="n">
        <v>-69</v>
      </c>
      <c r="E13" s="13" t="n">
        <v>24</v>
      </c>
      <c r="F13" s="7" t="n">
        <f aca="false">2*52*B13*C13/3.6</f>
        <v>173.333333333333</v>
      </c>
      <c r="G13" s="7" t="n">
        <f aca="false">D13+Supuestos!$C$14</f>
        <v>-66</v>
      </c>
    </row>
    <row r="14" customFormat="false" ht="15" hidden="false" customHeight="false" outlineLevel="0" collapsed="false">
      <c r="A14" s="13" t="s">
        <v>138</v>
      </c>
      <c r="B14" s="13" t="n">
        <v>8</v>
      </c>
      <c r="C14" s="16" t="n">
        <v>0.833333333333333</v>
      </c>
      <c r="D14" s="13" t="n">
        <v>-65</v>
      </c>
      <c r="E14" s="13" t="n">
        <v>22</v>
      </c>
      <c r="F14" s="7" t="n">
        <f aca="false">2*52*B14*C14/3.6</f>
        <v>192.592592592593</v>
      </c>
      <c r="G14" s="7" t="n">
        <f aca="false">D14+Supuestos!$C$14</f>
        <v>-62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5" min="2" style="0" width="9"/>
    <col collapsed="false" customWidth="true" hidden="false" outlineLevel="0" max="6" min="6" style="0" width="8"/>
    <col collapsed="false" customWidth="true" hidden="false" outlineLevel="0" max="9" min="7" style="0" width="9"/>
    <col collapsed="false" customWidth="true" hidden="false" outlineLevel="0" max="10" min="10" style="0" width="10"/>
    <col collapsed="false" customWidth="true" hidden="false" outlineLevel="0" max="19" min="11" style="0" width="9"/>
    <col collapsed="false" customWidth="true" hidden="false" outlineLevel="0" max="23" min="20" style="0" width="10"/>
    <col collapsed="false" customWidth="true" hidden="false" outlineLevel="0" max="25" min="24" style="0" width="8"/>
    <col collapsed="false" customWidth="true" hidden="false" outlineLevel="0" max="26" min="26" style="0" width="13"/>
    <col collapsed="false" customWidth="true" hidden="false" outlineLevel="0" max="28" min="27" style="0" width="10"/>
    <col collapsed="false" customWidth="true" hidden="false" outlineLevel="0" max="30" min="29" style="0" width="11"/>
  </cols>
  <sheetData>
    <row r="1" customFormat="false" ht="17.35" hidden="false" customHeight="false" outlineLevel="0" collapsed="false">
      <c r="A1" s="1" t="s">
        <v>139</v>
      </c>
    </row>
    <row r="2" customFormat="false" ht="15" hidden="false" customHeight="false" outlineLevel="0" collapsed="false">
      <c r="A2" s="2" t="s">
        <v>140</v>
      </c>
    </row>
    <row r="4" customFormat="false" ht="57.75" hidden="false" customHeight="true" outlineLevel="0" collapsed="false">
      <c r="A4" s="3" t="s">
        <v>141</v>
      </c>
      <c r="B4" s="3" t="s">
        <v>142</v>
      </c>
      <c r="C4" s="3" t="s">
        <v>143</v>
      </c>
      <c r="D4" s="3" t="s">
        <v>144</v>
      </c>
      <c r="E4" s="3" t="s">
        <v>145</v>
      </c>
      <c r="F4" s="3" t="s">
        <v>146</v>
      </c>
      <c r="G4" s="3" t="s">
        <v>147</v>
      </c>
      <c r="H4" s="3" t="s">
        <v>148</v>
      </c>
      <c r="I4" s="3" t="s">
        <v>149</v>
      </c>
      <c r="J4" s="3" t="s">
        <v>150</v>
      </c>
      <c r="K4" s="3" t="s">
        <v>151</v>
      </c>
      <c r="L4" s="3" t="s">
        <v>152</v>
      </c>
      <c r="M4" s="3" t="s">
        <v>153</v>
      </c>
      <c r="N4" s="3" t="s">
        <v>154</v>
      </c>
      <c r="O4" s="3" t="s">
        <v>155</v>
      </c>
      <c r="P4" s="3" t="s">
        <v>156</v>
      </c>
      <c r="Q4" s="3" t="s">
        <v>157</v>
      </c>
      <c r="R4" s="3" t="s">
        <v>158</v>
      </c>
      <c r="S4" s="3" t="s">
        <v>159</v>
      </c>
      <c r="T4" s="3" t="s">
        <v>160</v>
      </c>
      <c r="U4" s="3" t="s">
        <v>161</v>
      </c>
      <c r="V4" s="3" t="s">
        <v>162</v>
      </c>
      <c r="W4" s="3" t="s">
        <v>163</v>
      </c>
      <c r="X4" s="3" t="s">
        <v>164</v>
      </c>
      <c r="Y4" s="3" t="s">
        <v>165</v>
      </c>
      <c r="Z4" s="3" t="s">
        <v>166</v>
      </c>
      <c r="AA4" s="3" t="s">
        <v>167</v>
      </c>
      <c r="AB4" s="3" t="s">
        <v>168</v>
      </c>
    </row>
    <row r="5" customFormat="false" ht="15" hidden="false" customHeight="false" outlineLevel="0" collapsed="false">
      <c r="A5" s="13" t="n">
        <v>1</v>
      </c>
      <c r="B5" s="17" t="n">
        <v>231.5</v>
      </c>
      <c r="C5" s="18" t="n">
        <v>297</v>
      </c>
      <c r="D5" s="18" t="n">
        <v>215.9</v>
      </c>
      <c r="E5" s="19" t="n">
        <v>31</v>
      </c>
      <c r="F5" s="6" t="str">
        <f aca="false">IF(AND(B5&gt;=90,B5&lt;210),"S1",IF(AND(B5&gt;=210,B5&lt;330),"S2","S3"))</f>
        <v>S2</v>
      </c>
      <c r="G5" s="6" t="n">
        <f aca="false">IF(F5="S1",Supuestos!$C$26,IF(F5="S2",Supuestos!$C$27,Supuestos!$C$28))</f>
        <v>270</v>
      </c>
      <c r="H5" s="7" t="n">
        <f aca="false">MOD(B5-G5+180,360)-180</f>
        <v>-38.5</v>
      </c>
      <c r="I5" s="7" t="n">
        <f aca="false">Supuestos!$C$7-(D5-Supuestos!$C$8)-Supuestos!$C$9</f>
        <v>14.1</v>
      </c>
      <c r="J5" s="7" t="n">
        <f aca="false">SQRT(C5^2+I5^2)</f>
        <v>297.334508592595</v>
      </c>
      <c r="K5" s="20" t="n">
        <f aca="false">DEGREES(ATAN2(C5,I5))</f>
        <v>2.71806185356209</v>
      </c>
      <c r="L5" s="20" t="n">
        <f aca="false">K5-(Supuestos!$C$21+Supuestos!$C$22)</f>
        <v>-1.28193814643791</v>
      </c>
      <c r="M5" s="7" t="n">
        <f aca="false">MIN(6*(2*H5/Supuestos!$C$20)^2,Supuestos!$C$24)</f>
        <v>1.89535936917257</v>
      </c>
      <c r="N5" s="21" t="n">
        <f aca="false">PI()*Supuestos!$C$23/Supuestos!$C$6*SIN(RADIANS(L5))</f>
        <v>-0.499035488317527</v>
      </c>
      <c r="O5" s="7" t="n">
        <f aca="false">IF(ABS(N5)&lt;0.000000001,0,MIN(-20*LOG10(MAX(ABS(SIN(N5)/N5),0.000001)),Supuestos!$C$25))</f>
        <v>0.363558093791556</v>
      </c>
      <c r="P5" s="7" t="n">
        <f aca="false">Supuestos!$C$19-M5-O5</f>
        <v>13.2410825370359</v>
      </c>
      <c r="Q5" s="7" t="n">
        <f aca="false">32.44+20*LOG10(J5/1000)+20*LOG10(Supuestos!$C$5*1000)</f>
        <v>97.173466196738</v>
      </c>
      <c r="R5" s="7" t="n">
        <f aca="false">IF(E5&lt;=0,0,IF(E5&lt;=14,0.45*Supuestos!$C$5^0.284*E5,1.33*Supuestos!$C$5^0.284*MIN(E5,400)^0.588))</f>
        <v>16.5038727758886</v>
      </c>
      <c r="S5" s="7" t="n">
        <f aca="false">Q5+R5+Supuestos!$C$12+Supuestos!$C$13+Supuestos!$C$11-P5-Supuestos!$C$10</f>
        <v>79.2362564355907</v>
      </c>
      <c r="T5" s="7" t="n">
        <f aca="false">MCS!$E$5-S5-MCS!$G$5</f>
        <v>41.7637435644094</v>
      </c>
      <c r="U5" s="7" t="n">
        <f aca="false">T5-Supuestos!$C$15</f>
        <v>38.7637435644094</v>
      </c>
      <c r="V5" s="5" t="n">
        <f aca="false">SUMPRODUCT(--(MCS!$E$5:$E$14-$S5-MCS!$G$5:$G$14&gt;=Supuestos!$C$16))</f>
        <v>9</v>
      </c>
      <c r="W5" s="5" t="n">
        <f aca="false">SUMPRODUCT(--(MCS!$E$5:$E$14-Supuestos!$C$15-$S5-MCS!$G$5:$G$14&gt;=Supuestos!$C$16))</f>
        <v>8</v>
      </c>
      <c r="X5" s="6" t="str">
        <f aca="false">IF(V5=0,"ninguno",INDEX(MCS!$A$5:$A$14,V5))</f>
        <v>256QAM 3/4</v>
      </c>
      <c r="Y5" s="7" t="n">
        <f aca="false">IF(V5=0,0,INDEX(MCS!$F$5:$F$14,V5))</f>
        <v>173.333333333333</v>
      </c>
      <c r="Z5" s="7" t="n">
        <f aca="false">IF(W5=0,0,INDEX(MCS!$F$5:$F$14,W5))</f>
        <v>144.444444444444</v>
      </c>
      <c r="AA5" s="22" t="n">
        <f aca="false">IF(Y5&gt;0,Supuestos!$C$29*Supuestos!$C$30/(Supuestos!$C$17*Y5),0)</f>
        <v>0.00798816568047337</v>
      </c>
      <c r="AB5" s="22" t="n">
        <f aca="false">IF(Z5&gt;0,Supuestos!$C$29*Supuestos!$C$31/(Supuestos!$C$17*Z5),0)</f>
        <v>0.00119822485207101</v>
      </c>
    </row>
    <row r="6" customFormat="false" ht="15" hidden="false" customHeight="false" outlineLevel="0" collapsed="false">
      <c r="A6" s="13" t="n">
        <v>2</v>
      </c>
      <c r="B6" s="17" t="n">
        <v>223.8</v>
      </c>
      <c r="C6" s="18" t="n">
        <v>233.3</v>
      </c>
      <c r="D6" s="18" t="n">
        <v>209</v>
      </c>
      <c r="E6" s="19" t="n">
        <v>42</v>
      </c>
      <c r="F6" s="6" t="str">
        <f aca="false">IF(AND(B6&gt;=90,B6&lt;210),"S1",IF(AND(B6&gt;=210,B6&lt;330),"S2","S3"))</f>
        <v>S2</v>
      </c>
      <c r="G6" s="6" t="n">
        <f aca="false">IF(F6="S1",Supuestos!$C$26,IF(F6="S2",Supuestos!$C$27,Supuestos!$C$28))</f>
        <v>270</v>
      </c>
      <c r="H6" s="7" t="n">
        <f aca="false">MOD(B6-G6+180,360)-180</f>
        <v>-46.2</v>
      </c>
      <c r="I6" s="7" t="n">
        <f aca="false">Supuestos!$C$7-(D6-Supuestos!$C$8)-Supuestos!$C$9</f>
        <v>21</v>
      </c>
      <c r="J6" s="7" t="n">
        <f aca="false">SQRT(C6^2+I6^2)</f>
        <v>234.243228290595</v>
      </c>
      <c r="K6" s="20" t="n">
        <f aca="false">DEGREES(ATAN2(C6,I6))</f>
        <v>5.14349540247172</v>
      </c>
      <c r="L6" s="20" t="n">
        <f aca="false">K6-(Supuestos!$C$21+Supuestos!$C$22)</f>
        <v>1.14349540247172</v>
      </c>
      <c r="M6" s="7" t="n">
        <f aca="false">MIN(6*(2*H6/Supuestos!$C$20)^2,Supuestos!$C$24)</f>
        <v>2.7293174916085</v>
      </c>
      <c r="N6" s="21" t="n">
        <f aca="false">PI()*Supuestos!$C$23/Supuestos!$C$6*SIN(RADIANS(L6))</f>
        <v>0.445149804334463</v>
      </c>
      <c r="O6" s="7" t="n">
        <f aca="false">IF(ABS(N6)&lt;0.000000001,0,MIN(-20*LOG10(MAX(ABS(SIN(N6)/N6),0.000001)),Supuestos!$C$25))</f>
        <v>0.288782604179377</v>
      </c>
      <c r="P6" s="7" t="n">
        <f aca="false">Supuestos!$C$19-M6-O6</f>
        <v>12.4818999042121</v>
      </c>
      <c r="Q6" s="7" t="n">
        <f aca="false">32.44+20*LOG10(J6/1000)+20*LOG10(Supuestos!$C$5*1000)</f>
        <v>95.1019007667423</v>
      </c>
      <c r="R6" s="7" t="n">
        <f aca="false">IF(E6&lt;=0,0,IF(E6&lt;=14,0.45*Supuestos!$C$5^0.284*E6,1.33*Supuestos!$C$5^0.284*MIN(E6,400)^0.588))</f>
        <v>19.7303947289308</v>
      </c>
      <c r="S6" s="7" t="n">
        <f aca="false">Q6+R6+Supuestos!$C$12+Supuestos!$C$13+Supuestos!$C$11-P6-Supuestos!$C$10</f>
        <v>81.150395591461</v>
      </c>
      <c r="T6" s="7" t="n">
        <f aca="false">MCS!$E$5-S6-MCS!$G$5</f>
        <v>39.8496044085391</v>
      </c>
      <c r="U6" s="7" t="n">
        <f aca="false">T6-Supuestos!$C$15</f>
        <v>36.8496044085391</v>
      </c>
      <c r="V6" s="5" t="n">
        <f aca="false">SUMPRODUCT(--(MCS!$E$5:$E$14-$S6-MCS!$G$5:$G$14&gt;=Supuestos!$C$16))</f>
        <v>8</v>
      </c>
      <c r="W6" s="5" t="n">
        <f aca="false">SUMPRODUCT(--(MCS!$E$5:$E$14-Supuestos!$C$15-$S6-MCS!$G$5:$G$14&gt;=Supuestos!$C$16))</f>
        <v>8</v>
      </c>
      <c r="X6" s="6" t="str">
        <f aca="false">IF(V6=0,"ninguno",INDEX(MCS!$A$5:$A$14,V6))</f>
        <v>64QAM 5/6</v>
      </c>
      <c r="Y6" s="7" t="n">
        <f aca="false">IF(V6=0,0,INDEX(MCS!$F$5:$F$14,V6))</f>
        <v>144.444444444444</v>
      </c>
      <c r="Z6" s="7" t="n">
        <f aca="false">IF(W6=0,0,INDEX(MCS!$F$5:$F$14,W6))</f>
        <v>144.444444444444</v>
      </c>
      <c r="AA6" s="22" t="n">
        <f aca="false">IF(Y6&gt;0,Supuestos!$C$29*Supuestos!$C$30/(Supuestos!$C$17*Y6),0)</f>
        <v>0.00958579881656805</v>
      </c>
      <c r="AB6" s="22" t="n">
        <f aca="false">IF(Z6&gt;0,Supuestos!$C$29*Supuestos!$C$31/(Supuestos!$C$17*Z6),0)</f>
        <v>0.00119822485207101</v>
      </c>
    </row>
    <row r="7" customFormat="false" ht="15" hidden="false" customHeight="false" outlineLevel="0" collapsed="false">
      <c r="A7" s="13" t="n">
        <v>3</v>
      </c>
      <c r="B7" s="17" t="n">
        <v>215.4</v>
      </c>
      <c r="C7" s="18" t="n">
        <v>201.1</v>
      </c>
      <c r="D7" s="18" t="n">
        <v>208.3</v>
      </c>
      <c r="E7" s="19" t="n">
        <v>81</v>
      </c>
      <c r="F7" s="6" t="str">
        <f aca="false">IF(AND(B7&gt;=90,B7&lt;210),"S1",IF(AND(B7&gt;=210,B7&lt;330),"S2","S3"))</f>
        <v>S2</v>
      </c>
      <c r="G7" s="6" t="n">
        <f aca="false">IF(F7="S1",Supuestos!$C$26,IF(F7="S2",Supuestos!$C$27,Supuestos!$C$28))</f>
        <v>270</v>
      </c>
      <c r="H7" s="7" t="n">
        <f aca="false">MOD(B7-G7+180,360)-180</f>
        <v>-54.6</v>
      </c>
      <c r="I7" s="7" t="n">
        <f aca="false">Supuestos!$C$7-(D7-Supuestos!$C$8)-Supuestos!$C$9</f>
        <v>21.7</v>
      </c>
      <c r="J7" s="7" t="n">
        <f aca="false">SQRT(C7^2+I7^2)</f>
        <v>202.267397274005</v>
      </c>
      <c r="K7" s="20" t="n">
        <f aca="false">DEGREES(ATAN2(C7,I7))</f>
        <v>6.15875780268393</v>
      </c>
      <c r="L7" s="20" t="n">
        <f aca="false">K7-(Supuestos!$C$21+Supuestos!$C$22)</f>
        <v>2.15875780268393</v>
      </c>
      <c r="M7" s="7" t="n">
        <f aca="false">MIN(6*(2*H7/Supuestos!$C$20)^2,Supuestos!$C$24)</f>
        <v>3.81202195108956</v>
      </c>
      <c r="N7" s="21" t="n">
        <f aca="false">PI()*Supuestos!$C$23/Supuestos!$C$6*SIN(RADIANS(L7))</f>
        <v>0.840236913874309</v>
      </c>
      <c r="O7" s="7" t="n">
        <f aca="false">IF(ABS(N7)&lt;0.000000001,0,MIN(-20*LOG10(MAX(ABS(SIN(N7)/N7),0.000001)),Supuestos!$C$25))</f>
        <v>1.04722744000371</v>
      </c>
      <c r="P7" s="7" t="n">
        <f aca="false">Supuestos!$C$19-M7-O7</f>
        <v>10.6407506089067</v>
      </c>
      <c r="Q7" s="7" t="n">
        <f aca="false">32.44+20*LOG10(J7/1000)+20*LOG10(Supuestos!$C$5*1000)</f>
        <v>93.8270775934008</v>
      </c>
      <c r="R7" s="7" t="n">
        <f aca="false">IF(E7&lt;=0,0,IF(E7&lt;=14,0.45*Supuestos!$C$5^0.284*E7,1.33*Supuestos!$C$5^0.284*MIN(E7,400)^0.588))</f>
        <v>29.0304910677776</v>
      </c>
      <c r="S7" s="7" t="n">
        <f aca="false">Q7+R7+Supuestos!$C$12+Supuestos!$C$13+Supuestos!$C$11-P7-Supuestos!$C$10</f>
        <v>91.0168180522717</v>
      </c>
      <c r="T7" s="7" t="n">
        <f aca="false">MCS!$E$5-S7-MCS!$G$5</f>
        <v>29.9831819477283</v>
      </c>
      <c r="U7" s="7" t="n">
        <f aca="false">T7-Supuestos!$C$15</f>
        <v>26.9831819477283</v>
      </c>
      <c r="V7" s="5" t="n">
        <f aca="false">SUMPRODUCT(--(MCS!$E$5:$E$14-$S7-MCS!$G$5:$G$14&gt;=Supuestos!$C$16))</f>
        <v>6</v>
      </c>
      <c r="W7" s="5" t="n">
        <f aca="false">SUMPRODUCT(--(MCS!$E$5:$E$14-Supuestos!$C$15-$S7-MCS!$G$5:$G$14&gt;=Supuestos!$C$16))</f>
        <v>6</v>
      </c>
      <c r="X7" s="6" t="str">
        <f aca="false">IF(V7=0,"ninguno",INDEX(MCS!$A$5:$A$14,V7))</f>
        <v>64QAM 2/3</v>
      </c>
      <c r="Y7" s="7" t="n">
        <f aca="false">IF(V7=0,0,INDEX(MCS!$F$5:$F$14,V7))</f>
        <v>115.555555555556</v>
      </c>
      <c r="Z7" s="7" t="n">
        <f aca="false">IF(W7=0,0,INDEX(MCS!$F$5:$F$14,W7))</f>
        <v>115.555555555556</v>
      </c>
      <c r="AA7" s="22" t="n">
        <f aca="false">IF(Y7&gt;0,Supuestos!$C$29*Supuestos!$C$30/(Supuestos!$C$17*Y7),0)</f>
        <v>0.0119822485207101</v>
      </c>
      <c r="AB7" s="22" t="n">
        <f aca="false">IF(Z7&gt;0,Supuestos!$C$29*Supuestos!$C$31/(Supuestos!$C$17*Z7),0)</f>
        <v>0.00149778106508876</v>
      </c>
    </row>
    <row r="8" customFormat="false" ht="15" hidden="false" customHeight="false" outlineLevel="0" collapsed="false">
      <c r="A8" s="13" t="n">
        <v>4</v>
      </c>
      <c r="B8" s="17" t="n">
        <v>209.3</v>
      </c>
      <c r="C8" s="18" t="n">
        <v>189.9</v>
      </c>
      <c r="D8" s="18" t="n">
        <v>208.7</v>
      </c>
      <c r="E8" s="19" t="n">
        <v>55</v>
      </c>
      <c r="F8" s="6" t="str">
        <f aca="false">IF(AND(B8&gt;=90,B8&lt;210),"S1",IF(AND(B8&gt;=210,B8&lt;330),"S2","S3"))</f>
        <v>S1</v>
      </c>
      <c r="G8" s="6" t="n">
        <f aca="false">IF(F8="S1",Supuestos!$C$26,IF(F8="S2",Supuestos!$C$27,Supuestos!$C$28))</f>
        <v>150</v>
      </c>
      <c r="H8" s="7" t="n">
        <f aca="false">MOD(B8-G8+180,360)-180</f>
        <v>59.3</v>
      </c>
      <c r="I8" s="7" t="n">
        <f aca="false">Supuestos!$C$7-(D8-Supuestos!$C$8)-Supuestos!$C$9</f>
        <v>21.3</v>
      </c>
      <c r="J8" s="7" t="n">
        <f aca="false">SQRT(C8^2+I8^2)</f>
        <v>191.090816105851</v>
      </c>
      <c r="K8" s="20" t="n">
        <f aca="false">DEGREES(ATAN2(C8,I8))</f>
        <v>6.39979204984255</v>
      </c>
      <c r="L8" s="20" t="n">
        <f aca="false">K8-(Supuestos!$C$21+Supuestos!$C$22)</f>
        <v>2.39979204984255</v>
      </c>
      <c r="M8" s="7" t="n">
        <f aca="false">MIN(6*(2*H8/Supuestos!$C$20)^2,Supuestos!$C$24)</f>
        <v>4.49655069529544</v>
      </c>
      <c r="N8" s="21" t="n">
        <f aca="false">PI()*Supuestos!$C$23/Supuestos!$C$6*SIN(RADIANS(L8))</f>
        <v>0.934000735189593</v>
      </c>
      <c r="O8" s="7" t="n">
        <f aca="false">IF(ABS(N8)&lt;0.000000001,0,MIN(-20*LOG10(MAX(ABS(SIN(N8)/N8),0.000001)),Supuestos!$C$25))</f>
        <v>1.30176618695606</v>
      </c>
      <c r="P8" s="7" t="n">
        <f aca="false">Supuestos!$C$19-M8-O8</f>
        <v>9.70168311774851</v>
      </c>
      <c r="Q8" s="7" t="n">
        <f aca="false">32.44+20*LOG10(J8/1000)+20*LOG10(Supuestos!$C$5*1000)</f>
        <v>93.3333561753737</v>
      </c>
      <c r="R8" s="7" t="n">
        <f aca="false">IF(E8&lt;=0,0,IF(E8&lt;=14,0.45*Supuestos!$C$5^0.284*E8,1.33*Supuestos!$C$5^0.284*MIN(E8,400)^0.588))</f>
        <v>23.1205655205222</v>
      </c>
      <c r="S8" s="7" t="n">
        <f aca="false">Q8+R8+Supuestos!$C$12+Supuestos!$C$13+Supuestos!$C$11-P8-Supuestos!$C$10</f>
        <v>85.5522385781474</v>
      </c>
      <c r="T8" s="7" t="n">
        <f aca="false">MCS!$E$5-S8-MCS!$G$5</f>
        <v>35.4477614218526</v>
      </c>
      <c r="U8" s="7" t="n">
        <f aca="false">T8-Supuestos!$C$15</f>
        <v>32.4477614218526</v>
      </c>
      <c r="V8" s="5" t="n">
        <f aca="false">SUMPRODUCT(--(MCS!$E$5:$E$14-$S8-MCS!$G$5:$G$14&gt;=Supuestos!$C$16))</f>
        <v>8</v>
      </c>
      <c r="W8" s="5" t="n">
        <f aca="false">SUMPRODUCT(--(MCS!$E$5:$E$14-Supuestos!$C$15-$S8-MCS!$G$5:$G$14&gt;=Supuestos!$C$16))</f>
        <v>7</v>
      </c>
      <c r="X8" s="6" t="str">
        <f aca="false">IF(V8=0,"ninguno",INDEX(MCS!$A$5:$A$14,V8))</f>
        <v>64QAM 5/6</v>
      </c>
      <c r="Y8" s="7" t="n">
        <f aca="false">IF(V8=0,0,INDEX(MCS!$F$5:$F$14,V8))</f>
        <v>144.444444444444</v>
      </c>
      <c r="Z8" s="7" t="n">
        <f aca="false">IF(W8=0,0,INDEX(MCS!$F$5:$F$14,W8))</f>
        <v>130</v>
      </c>
      <c r="AA8" s="22" t="n">
        <f aca="false">IF(Y8&gt;0,Supuestos!$C$29*Supuestos!$C$30/(Supuestos!$C$17*Y8),0)</f>
        <v>0.00958579881656805</v>
      </c>
      <c r="AB8" s="22" t="n">
        <f aca="false">IF(Z8&gt;0,Supuestos!$C$29*Supuestos!$C$31/(Supuestos!$C$17*Z8),0)</f>
        <v>0.00133136094674556</v>
      </c>
    </row>
    <row r="9" customFormat="false" ht="15" hidden="false" customHeight="false" outlineLevel="0" collapsed="false">
      <c r="A9" s="13" t="n">
        <v>5</v>
      </c>
      <c r="B9" s="17" t="n">
        <v>233.2</v>
      </c>
      <c r="C9" s="18" t="n">
        <v>209.2</v>
      </c>
      <c r="D9" s="18" t="n">
        <v>205.9</v>
      </c>
      <c r="E9" s="19" t="n">
        <v>85</v>
      </c>
      <c r="F9" s="6" t="str">
        <f aca="false">IF(AND(B9&gt;=90,B9&lt;210),"S1",IF(AND(B9&gt;=210,B9&lt;330),"S2","S3"))</f>
        <v>S2</v>
      </c>
      <c r="G9" s="6" t="n">
        <f aca="false">IF(F9="S1",Supuestos!$C$26,IF(F9="S2",Supuestos!$C$27,Supuestos!$C$28))</f>
        <v>270</v>
      </c>
      <c r="H9" s="7" t="n">
        <f aca="false">MOD(B9-G9+180,360)-180</f>
        <v>-36.8</v>
      </c>
      <c r="I9" s="7" t="n">
        <f aca="false">Supuestos!$C$7-(D9-Supuestos!$C$8)-Supuestos!$C$9</f>
        <v>24.1</v>
      </c>
      <c r="J9" s="7" t="n">
        <f aca="false">SQRT(C9^2+I9^2)</f>
        <v>210.583593852893</v>
      </c>
      <c r="K9" s="20" t="n">
        <f aca="false">DEGREES(ATAN2(C9,I9))</f>
        <v>6.57154897725288</v>
      </c>
      <c r="L9" s="20" t="n">
        <f aca="false">K9-(Supuestos!$C$21+Supuestos!$C$22)</f>
        <v>2.57154897725288</v>
      </c>
      <c r="M9" s="7" t="n">
        <f aca="false">MIN(6*(2*H9/Supuestos!$C$20)^2,Supuestos!$C$24)</f>
        <v>1.73167243859556</v>
      </c>
      <c r="N9" s="21" t="n">
        <f aca="false">PI()*Supuestos!$C$23/Supuestos!$C$6*SIN(RADIANS(L9))</f>
        <v>1.00080525929897</v>
      </c>
      <c r="O9" s="7" t="n">
        <f aca="false">IF(ABS(N9)&lt;0.000000001,0,MIN(-20*LOG10(MAX(ABS(SIN(N9)/N9),0.000001)),Supuestos!$C$25))</f>
        <v>1.50172159744669</v>
      </c>
      <c r="P9" s="7" t="n">
        <f aca="false">Supuestos!$C$19-M9-O9</f>
        <v>12.2666059639578</v>
      </c>
      <c r="Q9" s="7" t="n">
        <f aca="false">32.44+20*LOG10(J9/1000)+20*LOG10(Supuestos!$C$5*1000)</f>
        <v>94.1770505342973</v>
      </c>
      <c r="R9" s="7" t="n">
        <f aca="false">IF(E9&lt;=0,0,IF(E9&lt;=14,0.45*Supuestos!$C$5^0.284*E9,1.33*Supuestos!$C$5^0.284*MIN(E9,400)^0.588))</f>
        <v>29.8650687926306</v>
      </c>
      <c r="S9" s="7" t="n">
        <f aca="false">Q9+R9+Supuestos!$C$12+Supuestos!$C$13+Supuestos!$C$11-P9-Supuestos!$C$10</f>
        <v>90.5755133629701</v>
      </c>
      <c r="T9" s="7" t="n">
        <f aca="false">MCS!$E$5-S9-MCS!$G$5</f>
        <v>30.4244866370299</v>
      </c>
      <c r="U9" s="7" t="n">
        <f aca="false">T9-Supuestos!$C$15</f>
        <v>27.4244866370299</v>
      </c>
      <c r="V9" s="5" t="n">
        <f aca="false">SUMPRODUCT(--(MCS!$E$5:$E$14-$S9-MCS!$G$5:$G$14&gt;=Supuestos!$C$16))</f>
        <v>7</v>
      </c>
      <c r="W9" s="5" t="n">
        <f aca="false">SUMPRODUCT(--(MCS!$E$5:$E$14-Supuestos!$C$15-$S9-MCS!$G$5:$G$14&gt;=Supuestos!$C$16))</f>
        <v>6</v>
      </c>
      <c r="X9" s="6" t="str">
        <f aca="false">IF(V9=0,"ninguno",INDEX(MCS!$A$5:$A$14,V9))</f>
        <v>64QAM 3/4</v>
      </c>
      <c r="Y9" s="7" t="n">
        <f aca="false">IF(V9=0,0,INDEX(MCS!$F$5:$F$14,V9))</f>
        <v>130</v>
      </c>
      <c r="Z9" s="7" t="n">
        <f aca="false">IF(W9=0,0,INDEX(MCS!$F$5:$F$14,W9))</f>
        <v>115.555555555556</v>
      </c>
      <c r="AA9" s="22" t="n">
        <f aca="false">IF(Y9&gt;0,Supuestos!$C$29*Supuestos!$C$30/(Supuestos!$C$17*Y9),0)</f>
        <v>0.0106508875739645</v>
      </c>
      <c r="AB9" s="22" t="n">
        <f aca="false">IF(Z9&gt;0,Supuestos!$C$29*Supuestos!$C$31/(Supuestos!$C$17*Z9),0)</f>
        <v>0.00149778106508876</v>
      </c>
    </row>
    <row r="10" customFormat="false" ht="15" hidden="false" customHeight="false" outlineLevel="0" collapsed="false">
      <c r="A10" s="13" t="n">
        <v>6</v>
      </c>
      <c r="B10" s="17" t="n">
        <v>239.3</v>
      </c>
      <c r="C10" s="18" t="n">
        <v>184.9</v>
      </c>
      <c r="D10" s="18" t="n">
        <v>205.3</v>
      </c>
      <c r="E10" s="19" t="n">
        <v>82</v>
      </c>
      <c r="F10" s="6" t="str">
        <f aca="false">IF(AND(B10&gt;=90,B10&lt;210),"S1",IF(AND(B10&gt;=210,B10&lt;330),"S2","S3"))</f>
        <v>S2</v>
      </c>
      <c r="G10" s="6" t="n">
        <f aca="false">IF(F10="S1",Supuestos!$C$26,IF(F10="S2",Supuestos!$C$27,Supuestos!$C$28))</f>
        <v>270</v>
      </c>
      <c r="H10" s="7" t="n">
        <f aca="false">MOD(B10-G10+180,360)-180</f>
        <v>-30.7</v>
      </c>
      <c r="I10" s="7" t="n">
        <f aca="false">Supuestos!$C$7-(D10-Supuestos!$C$8)-Supuestos!$C$9</f>
        <v>24.7</v>
      </c>
      <c r="J10" s="7" t="n">
        <f aca="false">SQRT(C10^2+I10^2)</f>
        <v>186.542488457724</v>
      </c>
      <c r="K10" s="20" t="n">
        <f aca="false">DEGREES(ATAN2(C10,I10))</f>
        <v>7.60885111411452</v>
      </c>
      <c r="L10" s="20" t="n">
        <f aca="false">K10-(Supuestos!$C$21+Supuestos!$C$22)</f>
        <v>3.60885111411452</v>
      </c>
      <c r="M10" s="7" t="n">
        <f aca="false">MIN(6*(2*H10/Supuestos!$C$20)^2,Supuestos!$C$24)</f>
        <v>1.20516596515531</v>
      </c>
      <c r="N10" s="21" t="n">
        <f aca="false">PI()*Supuestos!$C$23/Supuestos!$C$6*SIN(RADIANS(L10))</f>
        <v>1.40404931282016</v>
      </c>
      <c r="O10" s="7" t="n">
        <f aca="false">IF(ABS(N10)&lt;0.000000001,0,MIN(-20*LOG10(MAX(ABS(SIN(N10)/N10),0.000001)),Supuestos!$C$25))</f>
        <v>3.06896469302427</v>
      </c>
      <c r="P10" s="7" t="n">
        <f aca="false">Supuestos!$C$19-M10-O10</f>
        <v>11.2258693418204</v>
      </c>
      <c r="Q10" s="7" t="n">
        <f aca="false">32.44+20*LOG10(J10/1000)+20*LOG10(Supuestos!$C$5*1000)</f>
        <v>93.124115189448</v>
      </c>
      <c r="R10" s="7" t="n">
        <f aca="false">IF(E10&lt;=0,0,IF(E10&lt;=14,0.45*Supuestos!$C$5^0.284*E10,1.33*Supuestos!$C$5^0.284*MIN(E10,400)^0.588))</f>
        <v>29.2406980644532</v>
      </c>
      <c r="S10" s="7" t="n">
        <f aca="false">Q10+R10+Supuestos!$C$12+Supuestos!$C$13+Supuestos!$C$11-P10-Supuestos!$C$10</f>
        <v>89.9389439120808</v>
      </c>
      <c r="T10" s="7" t="n">
        <f aca="false">MCS!$E$5-S10-MCS!$G$5</f>
        <v>31.0610560879192</v>
      </c>
      <c r="U10" s="7" t="n">
        <f aca="false">T10-Supuestos!$C$15</f>
        <v>28.0610560879192</v>
      </c>
      <c r="V10" s="5" t="n">
        <f aca="false">SUMPRODUCT(--(MCS!$E$5:$E$14-$S10-MCS!$G$5:$G$14&gt;=Supuestos!$C$16))</f>
        <v>7</v>
      </c>
      <c r="W10" s="5" t="n">
        <f aca="false">SUMPRODUCT(--(MCS!$E$5:$E$14-Supuestos!$C$15-$S10-MCS!$G$5:$G$14&gt;=Supuestos!$C$16))</f>
        <v>6</v>
      </c>
      <c r="X10" s="6" t="str">
        <f aca="false">IF(V10=0,"ninguno",INDEX(MCS!$A$5:$A$14,V10))</f>
        <v>64QAM 3/4</v>
      </c>
      <c r="Y10" s="7" t="n">
        <f aca="false">IF(V10=0,0,INDEX(MCS!$F$5:$F$14,V10))</f>
        <v>130</v>
      </c>
      <c r="Z10" s="7" t="n">
        <f aca="false">IF(W10=0,0,INDEX(MCS!$F$5:$F$14,W10))</f>
        <v>115.555555555556</v>
      </c>
      <c r="AA10" s="22" t="n">
        <f aca="false">IF(Y10&gt;0,Supuestos!$C$29*Supuestos!$C$30/(Supuestos!$C$17*Y10),0)</f>
        <v>0.0106508875739645</v>
      </c>
      <c r="AB10" s="22" t="n">
        <f aca="false">IF(Z10&gt;0,Supuestos!$C$29*Supuestos!$C$31/(Supuestos!$C$17*Z10),0)</f>
        <v>0.00149778106508876</v>
      </c>
    </row>
    <row r="11" customFormat="false" ht="15" hidden="false" customHeight="false" outlineLevel="0" collapsed="false">
      <c r="A11" s="13" t="n">
        <v>7</v>
      </c>
      <c r="B11" s="17" t="n">
        <v>243.7</v>
      </c>
      <c r="C11" s="18" t="n">
        <v>217.1</v>
      </c>
      <c r="D11" s="18" t="n">
        <v>206.4</v>
      </c>
      <c r="E11" s="19" t="n">
        <v>58</v>
      </c>
      <c r="F11" s="6" t="str">
        <f aca="false">IF(AND(B11&gt;=90,B11&lt;210),"S1",IF(AND(B11&gt;=210,B11&lt;330),"S2","S3"))</f>
        <v>S2</v>
      </c>
      <c r="G11" s="6" t="n">
        <f aca="false">IF(F11="S1",Supuestos!$C$26,IF(F11="S2",Supuestos!$C$27,Supuestos!$C$28))</f>
        <v>270</v>
      </c>
      <c r="H11" s="7" t="n">
        <f aca="false">MOD(B11-G11+180,360)-180</f>
        <v>-26.3</v>
      </c>
      <c r="I11" s="7" t="n">
        <f aca="false">Supuestos!$C$7-(D11-Supuestos!$C$8)-Supuestos!$C$9</f>
        <v>23.6</v>
      </c>
      <c r="J11" s="7" t="n">
        <f aca="false">SQRT(C11^2+I11^2)</f>
        <v>218.378959609208</v>
      </c>
      <c r="K11" s="20" t="n">
        <f aca="false">DEGREES(ATAN2(C11,I11))</f>
        <v>6.20401492838771</v>
      </c>
      <c r="L11" s="20" t="n">
        <f aca="false">K11-(Supuestos!$C$21+Supuestos!$C$22)</f>
        <v>2.20401492838771</v>
      </c>
      <c r="M11" s="7" t="n">
        <f aca="false">MIN(6*(2*H11/Supuestos!$C$20)^2,Supuestos!$C$24)</f>
        <v>0.884466940167298</v>
      </c>
      <c r="N11" s="21" t="n">
        <f aca="false">PI()*Supuestos!$C$23/Supuestos!$C$6*SIN(RADIANS(L11))</f>
        <v>0.857843401262031</v>
      </c>
      <c r="O11" s="7" t="n">
        <f aca="false">IF(ABS(N11)&lt;0.000000001,0,MIN(-20*LOG10(MAX(ABS(SIN(N11)/N11),0.000001)),Supuestos!$C$25))</f>
        <v>1.09274227866875</v>
      </c>
      <c r="P11" s="7" t="n">
        <f aca="false">Supuestos!$C$19-M11-O11</f>
        <v>13.522790781164</v>
      </c>
      <c r="Q11" s="7" t="n">
        <f aca="false">32.44+20*LOG10(J11/1000)+20*LOG10(Supuestos!$C$5*1000)</f>
        <v>94.4927757235423</v>
      </c>
      <c r="R11" s="7" t="n">
        <f aca="false">IF(E11&lt;=0,0,IF(E11&lt;=14,0.45*Supuestos!$C$5^0.284*E11,1.33*Supuestos!$C$5^0.284*MIN(E11,400)^0.588))</f>
        <v>23.8539800309508</v>
      </c>
      <c r="S11" s="7" t="n">
        <f aca="false">Q11+R11+Supuestos!$C$12+Supuestos!$C$13+Supuestos!$C$11-P11-Supuestos!$C$10</f>
        <v>83.6239649733292</v>
      </c>
      <c r="T11" s="7" t="n">
        <f aca="false">MCS!$E$5-S11-MCS!$G$5</f>
        <v>37.3760350266709</v>
      </c>
      <c r="U11" s="7" t="n">
        <f aca="false">T11-Supuestos!$C$15</f>
        <v>34.3760350266709</v>
      </c>
      <c r="V11" s="5" t="n">
        <f aca="false">SUMPRODUCT(--(MCS!$E$5:$E$14-$S11-MCS!$G$5:$G$14&gt;=Supuestos!$C$16))</f>
        <v>8</v>
      </c>
      <c r="W11" s="5" t="n">
        <f aca="false">SUMPRODUCT(--(MCS!$E$5:$E$14-Supuestos!$C$15-$S11-MCS!$G$5:$G$14&gt;=Supuestos!$C$16))</f>
        <v>8</v>
      </c>
      <c r="X11" s="6" t="str">
        <f aca="false">IF(V11=0,"ninguno",INDEX(MCS!$A$5:$A$14,V11))</f>
        <v>64QAM 5/6</v>
      </c>
      <c r="Y11" s="7" t="n">
        <f aca="false">IF(V11=0,0,INDEX(MCS!$F$5:$F$14,V11))</f>
        <v>144.444444444444</v>
      </c>
      <c r="Z11" s="7" t="n">
        <f aca="false">IF(W11=0,0,INDEX(MCS!$F$5:$F$14,W11))</f>
        <v>144.444444444444</v>
      </c>
      <c r="AA11" s="22" t="n">
        <f aca="false">IF(Y11&gt;0,Supuestos!$C$29*Supuestos!$C$30/(Supuestos!$C$17*Y11),0)</f>
        <v>0.00958579881656805</v>
      </c>
      <c r="AB11" s="22" t="n">
        <f aca="false">IF(Z11&gt;0,Supuestos!$C$29*Supuestos!$C$31/(Supuestos!$C$17*Z11),0)</f>
        <v>0.00119822485207101</v>
      </c>
    </row>
    <row r="12" customFormat="false" ht="15" hidden="false" customHeight="false" outlineLevel="0" collapsed="false">
      <c r="A12" s="13" t="n">
        <v>8</v>
      </c>
      <c r="B12" s="17" t="n">
        <v>252.2</v>
      </c>
      <c r="C12" s="18" t="n">
        <v>268.8</v>
      </c>
      <c r="D12" s="18" t="n">
        <v>211.1</v>
      </c>
      <c r="E12" s="19" t="n">
        <v>65</v>
      </c>
      <c r="F12" s="6" t="str">
        <f aca="false">IF(AND(B12&gt;=90,B12&lt;210),"S1",IF(AND(B12&gt;=210,B12&lt;330),"S2","S3"))</f>
        <v>S2</v>
      </c>
      <c r="G12" s="6" t="n">
        <f aca="false">IF(F12="S1",Supuestos!$C$26,IF(F12="S2",Supuestos!$C$27,Supuestos!$C$28))</f>
        <v>270</v>
      </c>
      <c r="H12" s="7" t="n">
        <f aca="false">MOD(B12-G12+180,360)-180</f>
        <v>-17.8</v>
      </c>
      <c r="I12" s="7" t="n">
        <f aca="false">Supuestos!$C$7-(D12-Supuestos!$C$8)-Supuestos!$C$9</f>
        <v>18.9</v>
      </c>
      <c r="J12" s="7" t="n">
        <f aca="false">SQRT(C12^2+I12^2)</f>
        <v>269.463633910032</v>
      </c>
      <c r="K12" s="20" t="n">
        <f aca="false">DEGREES(ATAN2(C12,I12))</f>
        <v>4.02199017702011</v>
      </c>
      <c r="L12" s="20" t="n">
        <f aca="false">K12-(Supuestos!$C$21+Supuestos!$C$22)</f>
        <v>0.0219901770201121</v>
      </c>
      <c r="M12" s="7" t="n">
        <f aca="false">MIN(6*(2*H12/Supuestos!$C$20)^2,Supuestos!$C$24)</f>
        <v>0.40514465341787</v>
      </c>
      <c r="N12" s="21" t="n">
        <f aca="false">PI()*Supuestos!$C$23/Supuestos!$C$6*SIN(RADIANS(L12))</f>
        <v>0.00856109487426288</v>
      </c>
      <c r="O12" s="7" t="n">
        <f aca="false">IF(ABS(N12)&lt;0.000000001,0,MIN(-20*LOG10(MAX(ABS(SIN(N12)/N12),0.000001)),Supuestos!$C$25))</f>
        <v>0.00010610179652562</v>
      </c>
      <c r="P12" s="7" t="n">
        <f aca="false">Supuestos!$C$19-M12-O12</f>
        <v>15.0947492447856</v>
      </c>
      <c r="Q12" s="7" t="n">
        <f aca="false">32.44+20*LOG10(J12/1000)+20*LOG10(Supuestos!$C$5*1000)</f>
        <v>96.3185631164164</v>
      </c>
      <c r="R12" s="7" t="n">
        <f aca="false">IF(E12&lt;=0,0,IF(E12&lt;=14,0.45*Supuestos!$C$5^0.284*E12,1.33*Supuestos!$C$5^0.284*MIN(E12,400)^0.588))</f>
        <v>25.5069332028607</v>
      </c>
      <c r="S12" s="7" t="n">
        <f aca="false">Q12+R12+Supuestos!$C$12+Supuestos!$C$13+Supuestos!$C$11-P12-Supuestos!$C$10</f>
        <v>85.5307470744915</v>
      </c>
      <c r="T12" s="7" t="n">
        <f aca="false">MCS!$E$5-S12-MCS!$G$5</f>
        <v>35.4692529255085</v>
      </c>
      <c r="U12" s="7" t="n">
        <f aca="false">T12-Supuestos!$C$15</f>
        <v>32.4692529255085</v>
      </c>
      <c r="V12" s="5" t="n">
        <f aca="false">SUMPRODUCT(--(MCS!$E$5:$E$14-$S12-MCS!$G$5:$G$14&gt;=Supuestos!$C$16))</f>
        <v>8</v>
      </c>
      <c r="W12" s="5" t="n">
        <f aca="false">SUMPRODUCT(--(MCS!$E$5:$E$14-Supuestos!$C$15-$S12-MCS!$G$5:$G$14&gt;=Supuestos!$C$16))</f>
        <v>7</v>
      </c>
      <c r="X12" s="6" t="str">
        <f aca="false">IF(V12=0,"ninguno",INDEX(MCS!$A$5:$A$14,V12))</f>
        <v>64QAM 5/6</v>
      </c>
      <c r="Y12" s="7" t="n">
        <f aca="false">IF(V12=0,0,INDEX(MCS!$F$5:$F$14,V12))</f>
        <v>144.444444444444</v>
      </c>
      <c r="Z12" s="7" t="n">
        <f aca="false">IF(W12=0,0,INDEX(MCS!$F$5:$F$14,W12))</f>
        <v>130</v>
      </c>
      <c r="AA12" s="22" t="n">
        <f aca="false">IF(Y12&gt;0,Supuestos!$C$29*Supuestos!$C$30/(Supuestos!$C$17*Y12),0)</f>
        <v>0.00958579881656805</v>
      </c>
      <c r="AB12" s="22" t="n">
        <f aca="false">IF(Z12&gt;0,Supuestos!$C$29*Supuestos!$C$31/(Supuestos!$C$17*Z12),0)</f>
        <v>0.00133136094674556</v>
      </c>
    </row>
    <row r="13" customFormat="false" ht="15" hidden="false" customHeight="false" outlineLevel="0" collapsed="false">
      <c r="A13" s="13" t="n">
        <v>9</v>
      </c>
      <c r="B13" s="17" t="n">
        <v>250</v>
      </c>
      <c r="C13" s="18" t="n">
        <v>294.8</v>
      </c>
      <c r="D13" s="18" t="n">
        <v>214.9</v>
      </c>
      <c r="E13" s="19" t="n">
        <v>50</v>
      </c>
      <c r="F13" s="6" t="str">
        <f aca="false">IF(AND(B13&gt;=90,B13&lt;210),"S1",IF(AND(B13&gt;=210,B13&lt;330),"S2","S3"))</f>
        <v>S2</v>
      </c>
      <c r="G13" s="6" t="n">
        <f aca="false">IF(F13="S1",Supuestos!$C$26,IF(F13="S2",Supuestos!$C$27,Supuestos!$C$28))</f>
        <v>270</v>
      </c>
      <c r="H13" s="7" t="n">
        <f aca="false">MOD(B13-G13+180,360)-180</f>
        <v>-20</v>
      </c>
      <c r="I13" s="7" t="n">
        <f aca="false">Supuestos!$C$7-(D13-Supuestos!$C$8)-Supuestos!$C$9</f>
        <v>15.1</v>
      </c>
      <c r="J13" s="7" t="n">
        <f aca="false">SQRT(C13^2+I13^2)</f>
        <v>295.186466491945</v>
      </c>
      <c r="K13" s="20" t="n">
        <f aca="false">DEGREES(ATAN2(C13,I13))</f>
        <v>2.93219416699911</v>
      </c>
      <c r="L13" s="20" t="n">
        <f aca="false">K13-(Supuestos!$C$21+Supuestos!$C$22)</f>
        <v>-1.06780583300089</v>
      </c>
      <c r="M13" s="7" t="n">
        <f aca="false">MIN(6*(2*H13/Supuestos!$C$20)^2,Supuestos!$C$24)</f>
        <v>0.511481698545474</v>
      </c>
      <c r="N13" s="21" t="n">
        <f aca="false">PI()*Supuestos!$C$23/Supuestos!$C$6*SIN(RADIANS(L13))</f>
        <v>-0.415688244858449</v>
      </c>
      <c r="O13" s="7" t="n">
        <f aca="false">IF(ABS(N13)&lt;0.000000001,0,MIN(-20*LOG10(MAX(ABS(SIN(N13)/N13),0.000001)),Supuestos!$C$25))</f>
        <v>0.25160571436148</v>
      </c>
      <c r="P13" s="7" t="n">
        <f aca="false">Supuestos!$C$19-M13-O13</f>
        <v>14.736912587093</v>
      </c>
      <c r="Q13" s="7" t="n">
        <f aca="false">32.44+20*LOG10(J13/1000)+20*LOG10(Supuestos!$C$5*1000)</f>
        <v>97.1104887186554</v>
      </c>
      <c r="R13" s="7" t="n">
        <f aca="false">IF(E13&lt;=0,0,IF(E13&lt;=14,0.45*Supuestos!$C$5^0.284*E13,1.33*Supuestos!$C$5^0.284*MIN(E13,400)^0.588))</f>
        <v>21.8604729519412</v>
      </c>
      <c r="S13" s="7" t="n">
        <f aca="false">Q13+R13+Supuestos!$C$12+Supuestos!$C$13+Supuestos!$C$11-P13-Supuestos!$C$10</f>
        <v>83.0340490835036</v>
      </c>
      <c r="T13" s="7" t="n">
        <f aca="false">MCS!$E$5-S13-MCS!$G$5</f>
        <v>37.9659509164964</v>
      </c>
      <c r="U13" s="7" t="n">
        <f aca="false">T13-Supuestos!$C$15</f>
        <v>34.9659509164964</v>
      </c>
      <c r="V13" s="5" t="n">
        <f aca="false">SUMPRODUCT(--(MCS!$E$5:$E$14-$S13-MCS!$G$5:$G$14&gt;=Supuestos!$C$16))</f>
        <v>8</v>
      </c>
      <c r="W13" s="5" t="n">
        <f aca="false">SUMPRODUCT(--(MCS!$E$5:$E$14-Supuestos!$C$15-$S13-MCS!$G$5:$G$14&gt;=Supuestos!$C$16))</f>
        <v>8</v>
      </c>
      <c r="X13" s="6" t="str">
        <f aca="false">IF(V13=0,"ninguno",INDEX(MCS!$A$5:$A$14,V13))</f>
        <v>64QAM 5/6</v>
      </c>
      <c r="Y13" s="7" t="n">
        <f aca="false">IF(V13=0,0,INDEX(MCS!$F$5:$F$14,V13))</f>
        <v>144.444444444444</v>
      </c>
      <c r="Z13" s="7" t="n">
        <f aca="false">IF(W13=0,0,INDEX(MCS!$F$5:$F$14,W13))</f>
        <v>144.444444444444</v>
      </c>
      <c r="AA13" s="22" t="n">
        <f aca="false">IF(Y13&gt;0,Supuestos!$C$29*Supuestos!$C$30/(Supuestos!$C$17*Y13),0)</f>
        <v>0.00958579881656805</v>
      </c>
      <c r="AB13" s="22" t="n">
        <f aca="false">IF(Z13&gt;0,Supuestos!$C$29*Supuestos!$C$31/(Supuestos!$C$17*Z13),0)</f>
        <v>0.00119822485207101</v>
      </c>
    </row>
    <row r="14" customFormat="false" ht="15" hidden="false" customHeight="false" outlineLevel="0" collapsed="false">
      <c r="A14" s="13" t="n">
        <v>10</v>
      </c>
      <c r="B14" s="17" t="n">
        <v>255</v>
      </c>
      <c r="C14" s="18" t="n">
        <v>286.9</v>
      </c>
      <c r="D14" s="18" t="n">
        <v>213</v>
      </c>
      <c r="E14" s="19" t="n">
        <v>69</v>
      </c>
      <c r="F14" s="6" t="str">
        <f aca="false">IF(AND(B14&gt;=90,B14&lt;210),"S1",IF(AND(B14&gt;=210,B14&lt;330),"S2","S3"))</f>
        <v>S2</v>
      </c>
      <c r="G14" s="6" t="n">
        <f aca="false">IF(F14="S1",Supuestos!$C$26,IF(F14="S2",Supuestos!$C$27,Supuestos!$C$28))</f>
        <v>270</v>
      </c>
      <c r="H14" s="7" t="n">
        <f aca="false">MOD(B14-G14+180,360)-180</f>
        <v>-15</v>
      </c>
      <c r="I14" s="7" t="n">
        <f aca="false">Supuestos!$C$7-(D14-Supuestos!$C$8)-Supuestos!$C$9</f>
        <v>17</v>
      </c>
      <c r="J14" s="7" t="n">
        <f aca="false">SQRT(C14^2+I14^2)</f>
        <v>287.403218492765</v>
      </c>
      <c r="K14" s="20" t="n">
        <f aca="false">DEGREES(ATAN2(C14,I14))</f>
        <v>3.39104459363304</v>
      </c>
      <c r="L14" s="20" t="n">
        <f aca="false">K14-(Supuestos!$C$21+Supuestos!$C$22)</f>
        <v>-0.608955406366961</v>
      </c>
      <c r="M14" s="7" t="n">
        <f aca="false">MIN(6*(2*H14/Supuestos!$C$20)^2,Supuestos!$C$24)</f>
        <v>0.287708455431829</v>
      </c>
      <c r="N14" s="21" t="n">
        <f aca="false">PI()*Supuestos!$C$23/Supuestos!$C$6*SIN(RADIANS(L14))</f>
        <v>-0.237070714897439</v>
      </c>
      <c r="O14" s="7" t="n">
        <f aca="false">IF(ABS(N14)&lt;0.000000001,0,MIN(-20*LOG10(MAX(ABS(SIN(N14)/N14),0.000001)),Supuestos!$C$25))</f>
        <v>0.0815144568526292</v>
      </c>
      <c r="P14" s="7" t="n">
        <f aca="false">Supuestos!$C$19-M14-O14</f>
        <v>15.1307770877155</v>
      </c>
      <c r="Q14" s="7" t="n">
        <f aca="false">32.44+20*LOG10(J14/1000)+20*LOG10(Supuestos!$C$5*1000)</f>
        <v>96.8783924169391</v>
      </c>
      <c r="R14" s="7" t="n">
        <f aca="false">IF(E14&lt;=0,0,IF(E14&lt;=14,0.45*Supuestos!$C$5^0.284*E14,1.33*Supuestos!$C$5^0.284*MIN(E14,400)^0.588))</f>
        <v>26.4185183135653</v>
      </c>
      <c r="S14" s="7" t="n">
        <f aca="false">Q14+R14+Supuestos!$C$12+Supuestos!$C$13+Supuestos!$C$11-P14-Supuestos!$C$10</f>
        <v>86.9661336427888</v>
      </c>
      <c r="T14" s="7" t="n">
        <f aca="false">MCS!$E$5-S14-MCS!$G$5</f>
        <v>34.0338663572112</v>
      </c>
      <c r="U14" s="7" t="n">
        <f aca="false">T14-Supuestos!$C$15</f>
        <v>31.0338663572112</v>
      </c>
      <c r="V14" s="5" t="n">
        <f aca="false">SUMPRODUCT(--(MCS!$E$5:$E$14-$S14-MCS!$G$5:$G$14&gt;=Supuestos!$C$16))</f>
        <v>8</v>
      </c>
      <c r="W14" s="5" t="n">
        <f aca="false">SUMPRODUCT(--(MCS!$E$5:$E$14-Supuestos!$C$15-$S14-MCS!$G$5:$G$14&gt;=Supuestos!$C$16))</f>
        <v>7</v>
      </c>
      <c r="X14" s="6" t="str">
        <f aca="false">IF(V14=0,"ninguno",INDEX(MCS!$A$5:$A$14,V14))</f>
        <v>64QAM 5/6</v>
      </c>
      <c r="Y14" s="7" t="n">
        <f aca="false">IF(V14=0,0,INDEX(MCS!$F$5:$F$14,V14))</f>
        <v>144.444444444444</v>
      </c>
      <c r="Z14" s="7" t="n">
        <f aca="false">IF(W14=0,0,INDEX(MCS!$F$5:$F$14,W14))</f>
        <v>130</v>
      </c>
      <c r="AA14" s="22" t="n">
        <f aca="false">IF(Y14&gt;0,Supuestos!$C$29*Supuestos!$C$30/(Supuestos!$C$17*Y14),0)</f>
        <v>0.00958579881656805</v>
      </c>
      <c r="AB14" s="22" t="n">
        <f aca="false">IF(Z14&gt;0,Supuestos!$C$29*Supuestos!$C$31/(Supuestos!$C$17*Z14),0)</f>
        <v>0.00133136094674556</v>
      </c>
    </row>
    <row r="15" customFormat="false" ht="15" hidden="false" customHeight="false" outlineLevel="0" collapsed="false">
      <c r="A15" s="13" t="n">
        <v>11</v>
      </c>
      <c r="B15" s="17" t="n">
        <v>256.5</v>
      </c>
      <c r="C15" s="18" t="n">
        <v>321.6</v>
      </c>
      <c r="D15" s="18" t="n">
        <v>217.3</v>
      </c>
      <c r="E15" s="19" t="n">
        <v>32</v>
      </c>
      <c r="F15" s="6" t="str">
        <f aca="false">IF(AND(B15&gt;=90,B15&lt;210),"S1",IF(AND(B15&gt;=210,B15&lt;330),"S2","S3"))</f>
        <v>S2</v>
      </c>
      <c r="G15" s="6" t="n">
        <f aca="false">IF(F15="S1",Supuestos!$C$26,IF(F15="S2",Supuestos!$C$27,Supuestos!$C$28))</f>
        <v>270</v>
      </c>
      <c r="H15" s="7" t="n">
        <f aca="false">MOD(B15-G15+180,360)-180</f>
        <v>-13.5</v>
      </c>
      <c r="I15" s="7" t="n">
        <f aca="false">Supuestos!$C$7-(D15-Supuestos!$C$8)-Supuestos!$C$9</f>
        <v>12.7</v>
      </c>
      <c r="J15" s="7" t="n">
        <f aca="false">SQRT(C15^2+I15^2)</f>
        <v>321.850664128568</v>
      </c>
      <c r="K15" s="20" t="n">
        <f aca="false">DEGREES(ATAN2(C15,I15))</f>
        <v>2.26143812816203</v>
      </c>
      <c r="L15" s="20" t="n">
        <f aca="false">K15-(Supuestos!$C$21+Supuestos!$C$22)</f>
        <v>-1.73856187183797</v>
      </c>
      <c r="M15" s="7" t="n">
        <f aca="false">MIN(6*(2*H15/Supuestos!$C$20)^2,Supuestos!$C$24)</f>
        <v>0.233043848899782</v>
      </c>
      <c r="N15" s="21" t="n">
        <f aca="false">PI()*Supuestos!$C$23/Supuestos!$C$6*SIN(RADIANS(L15))</f>
        <v>-0.67674350910769</v>
      </c>
      <c r="O15" s="7" t="n">
        <f aca="false">IF(ABS(N15)&lt;0.000000001,0,MIN(-20*LOG10(MAX(ABS(SIN(N15)/N15),0.000001)),Supuestos!$C$25))</f>
        <v>0.673422681901145</v>
      </c>
      <c r="P15" s="7" t="n">
        <f aca="false">Supuestos!$C$19-M15-O15</f>
        <v>14.5935334691991</v>
      </c>
      <c r="Q15" s="7" t="n">
        <f aca="false">32.44+20*LOG10(J15/1000)+20*LOG10(Supuestos!$C$5*1000)</f>
        <v>97.8616480636329</v>
      </c>
      <c r="R15" s="7" t="n">
        <f aca="false">IF(E15&lt;=0,0,IF(E15&lt;=14,0.45*Supuestos!$C$5^0.284*E15,1.33*Supuestos!$C$5^0.284*MIN(E15,400)^0.588))</f>
        <v>16.8148647486298</v>
      </c>
      <c r="S15" s="7" t="n">
        <f aca="false">Q15+R15+Supuestos!$C$12+Supuestos!$C$13+Supuestos!$C$11-P15-Supuestos!$C$10</f>
        <v>78.8829793430636</v>
      </c>
      <c r="T15" s="7" t="n">
        <f aca="false">MCS!$E$5-S15-MCS!$G$5</f>
        <v>42.1170206569364</v>
      </c>
      <c r="U15" s="7" t="n">
        <f aca="false">T15-Supuestos!$C$15</f>
        <v>39.1170206569364</v>
      </c>
      <c r="V15" s="5" t="n">
        <f aca="false">SUMPRODUCT(--(MCS!$E$5:$E$14-$S15-MCS!$G$5:$G$14&gt;=Supuestos!$C$16))</f>
        <v>9</v>
      </c>
      <c r="W15" s="5" t="n">
        <f aca="false">SUMPRODUCT(--(MCS!$E$5:$E$14-Supuestos!$C$15-$S15-MCS!$G$5:$G$14&gt;=Supuestos!$C$16))</f>
        <v>8</v>
      </c>
      <c r="X15" s="6" t="str">
        <f aca="false">IF(V15=0,"ninguno",INDEX(MCS!$A$5:$A$14,V15))</f>
        <v>256QAM 3/4</v>
      </c>
      <c r="Y15" s="7" t="n">
        <f aca="false">IF(V15=0,0,INDEX(MCS!$F$5:$F$14,V15))</f>
        <v>173.333333333333</v>
      </c>
      <c r="Z15" s="7" t="n">
        <f aca="false">IF(W15=0,0,INDEX(MCS!$F$5:$F$14,W15))</f>
        <v>144.444444444444</v>
      </c>
      <c r="AA15" s="22" t="n">
        <f aca="false">IF(Y15&gt;0,Supuestos!$C$29*Supuestos!$C$30/(Supuestos!$C$17*Y15),0)</f>
        <v>0.00798816568047337</v>
      </c>
      <c r="AB15" s="22" t="n">
        <f aca="false">IF(Z15&gt;0,Supuestos!$C$29*Supuestos!$C$31/(Supuestos!$C$17*Z15),0)</f>
        <v>0.00119822485207101</v>
      </c>
    </row>
    <row r="16" customFormat="false" ht="15" hidden="false" customHeight="false" outlineLevel="0" collapsed="false">
      <c r="A16" s="13" t="n">
        <v>12</v>
      </c>
      <c r="B16" s="17" t="n">
        <v>260.1</v>
      </c>
      <c r="C16" s="18" t="n">
        <v>313.6</v>
      </c>
      <c r="D16" s="18" t="n">
        <v>214.8</v>
      </c>
      <c r="E16" s="19" t="n">
        <v>54</v>
      </c>
      <c r="F16" s="6" t="str">
        <f aca="false">IF(AND(B16&gt;=90,B16&lt;210),"S1",IF(AND(B16&gt;=210,B16&lt;330),"S2","S3"))</f>
        <v>S2</v>
      </c>
      <c r="G16" s="6" t="n">
        <f aca="false">IF(F16="S1",Supuestos!$C$26,IF(F16="S2",Supuestos!$C$27,Supuestos!$C$28))</f>
        <v>270</v>
      </c>
      <c r="H16" s="7" t="n">
        <f aca="false">MOD(B16-G16+180,360)-180</f>
        <v>-9.89999999999998</v>
      </c>
      <c r="I16" s="7" t="n">
        <f aca="false">Supuestos!$C$7-(D16-Supuestos!$C$8)-Supuestos!$C$9</f>
        <v>15.2</v>
      </c>
      <c r="J16" s="7" t="n">
        <f aca="false">SQRT(C16^2+I16^2)</f>
        <v>313.968151251047</v>
      </c>
      <c r="K16" s="20" t="n">
        <f aca="false">DEGREES(ATAN2(C16,I16))</f>
        <v>2.77491969107847</v>
      </c>
      <c r="L16" s="20" t="n">
        <f aca="false">K16-(Supuestos!$C$21+Supuestos!$C$22)</f>
        <v>-1.22508030892153</v>
      </c>
      <c r="M16" s="7" t="n">
        <f aca="false">MIN(6*(2*H16/Supuestos!$C$20)^2,Supuestos!$C$24)</f>
        <v>0.125325803186104</v>
      </c>
      <c r="N16" s="21" t="n">
        <f aca="false">PI()*Supuestos!$C$23/Supuestos!$C$6*SIN(RADIANS(L16))</f>
        <v>-0.476905205118653</v>
      </c>
      <c r="O16" s="7" t="n">
        <f aca="false">IF(ABS(N16)&lt;0.000000001,0,MIN(-20*LOG10(MAX(ABS(SIN(N16)/N16),0.000001)),Supuestos!$C$25))</f>
        <v>0.331783878326426</v>
      </c>
      <c r="P16" s="7" t="n">
        <f aca="false">Supuestos!$C$19-M16-O16</f>
        <v>15.0428903184875</v>
      </c>
      <c r="Q16" s="7" t="n">
        <f aca="false">32.44+20*LOG10(J16/1000)+20*LOG10(Supuestos!$C$5*1000)</f>
        <v>97.6462717857521</v>
      </c>
      <c r="R16" s="7" t="n">
        <f aca="false">IF(E16&lt;=0,0,IF(E16&lt;=14,0.45*Supuestos!$C$5^0.284*E16,1.33*Supuestos!$C$5^0.284*MIN(E16,400)^0.588))</f>
        <v>22.8724518449016</v>
      </c>
      <c r="S16" s="7" t="n">
        <f aca="false">Q16+R16+Supuestos!$C$12+Supuestos!$C$13+Supuestos!$C$11-P16-Supuestos!$C$10</f>
        <v>84.2758333121662</v>
      </c>
      <c r="T16" s="7" t="n">
        <f aca="false">MCS!$E$5-S16-MCS!$G$5</f>
        <v>36.7241666878338</v>
      </c>
      <c r="U16" s="7" t="n">
        <f aca="false">T16-Supuestos!$C$15</f>
        <v>33.7241666878338</v>
      </c>
      <c r="V16" s="5" t="n">
        <f aca="false">SUMPRODUCT(--(MCS!$E$5:$E$14-$S16-MCS!$G$5:$G$14&gt;=Supuestos!$C$16))</f>
        <v>8</v>
      </c>
      <c r="W16" s="5" t="n">
        <f aca="false">SUMPRODUCT(--(MCS!$E$5:$E$14-Supuestos!$C$15-$S16-MCS!$G$5:$G$14&gt;=Supuestos!$C$16))</f>
        <v>7</v>
      </c>
      <c r="X16" s="6" t="str">
        <f aca="false">IF(V16=0,"ninguno",INDEX(MCS!$A$5:$A$14,V16))</f>
        <v>64QAM 5/6</v>
      </c>
      <c r="Y16" s="7" t="n">
        <f aca="false">IF(V16=0,0,INDEX(MCS!$F$5:$F$14,V16))</f>
        <v>144.444444444444</v>
      </c>
      <c r="Z16" s="7" t="n">
        <f aca="false">IF(W16=0,0,INDEX(MCS!$F$5:$F$14,W16))</f>
        <v>130</v>
      </c>
      <c r="AA16" s="22" t="n">
        <f aca="false">IF(Y16&gt;0,Supuestos!$C$29*Supuestos!$C$30/(Supuestos!$C$17*Y16),0)</f>
        <v>0.00958579881656805</v>
      </c>
      <c r="AB16" s="22" t="n">
        <f aca="false">IF(Z16&gt;0,Supuestos!$C$29*Supuestos!$C$31/(Supuestos!$C$17*Z16),0)</f>
        <v>0.00133136094674556</v>
      </c>
    </row>
    <row r="17" customFormat="false" ht="15" hidden="false" customHeight="false" outlineLevel="0" collapsed="false">
      <c r="A17" s="13" t="n">
        <v>13</v>
      </c>
      <c r="B17" s="17" t="n">
        <v>248.4</v>
      </c>
      <c r="C17" s="18" t="n">
        <v>170.8</v>
      </c>
      <c r="D17" s="18" t="n">
        <v>204.9</v>
      </c>
      <c r="E17" s="19" t="n">
        <v>42</v>
      </c>
      <c r="F17" s="6" t="str">
        <f aca="false">IF(AND(B17&gt;=90,B17&lt;210),"S1",IF(AND(B17&gt;=210,B17&lt;330),"S2","S3"))</f>
        <v>S2</v>
      </c>
      <c r="G17" s="6" t="n">
        <f aca="false">IF(F17="S1",Supuestos!$C$26,IF(F17="S2",Supuestos!$C$27,Supuestos!$C$28))</f>
        <v>270</v>
      </c>
      <c r="H17" s="7" t="n">
        <f aca="false">MOD(B17-G17+180,360)-180</f>
        <v>-21.6</v>
      </c>
      <c r="I17" s="7" t="n">
        <f aca="false">Supuestos!$C$7-(D17-Supuestos!$C$8)-Supuestos!$C$9</f>
        <v>25.1</v>
      </c>
      <c r="J17" s="7" t="n">
        <f aca="false">SQRT(C17^2+I17^2)</f>
        <v>172.634440364604</v>
      </c>
      <c r="K17" s="20" t="n">
        <f aca="false">DEGREES(ATAN2(C17,I17))</f>
        <v>8.36009155029877</v>
      </c>
      <c r="L17" s="20" t="n">
        <f aca="false">K17-(Supuestos!$C$21+Supuestos!$C$22)</f>
        <v>4.36009155029877</v>
      </c>
      <c r="M17" s="7" t="n">
        <f aca="false">MIN(6*(2*H17/Supuestos!$C$20)^2,Supuestos!$C$24)</f>
        <v>0.59659225318344</v>
      </c>
      <c r="N17" s="21" t="n">
        <f aca="false">PI()*Supuestos!$C$23/Supuestos!$C$6*SIN(RADIANS(L17))</f>
        <v>1.69580910773057</v>
      </c>
      <c r="O17" s="7" t="n">
        <f aca="false">IF(ABS(N17)&lt;0.000000001,0,MIN(-20*LOG10(MAX(ABS(SIN(N17)/N17),0.000001)),Supuestos!$C$25))</f>
        <v>4.65558918592972</v>
      </c>
      <c r="P17" s="7" t="n">
        <f aca="false">Supuestos!$C$19-M17-O17</f>
        <v>10.2478185608868</v>
      </c>
      <c r="Q17" s="7" t="n">
        <f aca="false">32.44+20*LOG10(J17/1000)+20*LOG10(Supuestos!$C$5*1000)</f>
        <v>92.4511086963194</v>
      </c>
      <c r="R17" s="7" t="n">
        <f aca="false">IF(E17&lt;=0,0,IF(E17&lt;=14,0.45*Supuestos!$C$5^0.284*E17,1.33*Supuestos!$C$5^0.284*MIN(E17,400)^0.588))</f>
        <v>19.7303947289308</v>
      </c>
      <c r="S17" s="7" t="n">
        <f aca="false">Q17+R17+Supuestos!$C$12+Supuestos!$C$13+Supuestos!$C$11-P17-Supuestos!$C$10</f>
        <v>80.7336848643634</v>
      </c>
      <c r="T17" s="7" t="n">
        <f aca="false">MCS!$E$5-S17-MCS!$G$5</f>
        <v>40.2663151356366</v>
      </c>
      <c r="U17" s="7" t="n">
        <f aca="false">T17-Supuestos!$C$15</f>
        <v>37.2663151356366</v>
      </c>
      <c r="V17" s="5" t="n">
        <f aca="false">SUMPRODUCT(--(MCS!$E$5:$E$14-$S17-MCS!$G$5:$G$14&gt;=Supuestos!$C$16))</f>
        <v>8</v>
      </c>
      <c r="W17" s="5" t="n">
        <f aca="false">SUMPRODUCT(--(MCS!$E$5:$E$14-Supuestos!$C$15-$S17-MCS!$G$5:$G$14&gt;=Supuestos!$C$16))</f>
        <v>8</v>
      </c>
      <c r="X17" s="6" t="str">
        <f aca="false">IF(V17=0,"ninguno",INDEX(MCS!$A$5:$A$14,V17))</f>
        <v>64QAM 5/6</v>
      </c>
      <c r="Y17" s="7" t="n">
        <f aca="false">IF(V17=0,0,INDEX(MCS!$F$5:$F$14,V17))</f>
        <v>144.444444444444</v>
      </c>
      <c r="Z17" s="7" t="n">
        <f aca="false">IF(W17=0,0,INDEX(MCS!$F$5:$F$14,W17))</f>
        <v>144.444444444444</v>
      </c>
      <c r="AA17" s="22" t="n">
        <f aca="false">IF(Y17&gt;0,Supuestos!$C$29*Supuestos!$C$30/(Supuestos!$C$17*Y17),0)</f>
        <v>0.00958579881656805</v>
      </c>
      <c r="AB17" s="22" t="n">
        <f aca="false">IF(Z17&gt;0,Supuestos!$C$29*Supuestos!$C$31/(Supuestos!$C$17*Z17),0)</f>
        <v>0.00119822485207101</v>
      </c>
    </row>
    <row r="18" customFormat="false" ht="15" hidden="false" customHeight="false" outlineLevel="0" collapsed="false">
      <c r="A18" s="13" t="n">
        <v>14</v>
      </c>
      <c r="B18" s="17" t="n">
        <v>255.5</v>
      </c>
      <c r="C18" s="18" t="n">
        <v>163.8</v>
      </c>
      <c r="D18" s="18" t="n">
        <v>204.7</v>
      </c>
      <c r="E18" s="19" t="n">
        <v>11</v>
      </c>
      <c r="F18" s="6" t="str">
        <f aca="false">IF(AND(B18&gt;=90,B18&lt;210),"S1",IF(AND(B18&gt;=210,B18&lt;330),"S2","S3"))</f>
        <v>S2</v>
      </c>
      <c r="G18" s="6" t="n">
        <f aca="false">IF(F18="S1",Supuestos!$C$26,IF(F18="S2",Supuestos!$C$27,Supuestos!$C$28))</f>
        <v>270</v>
      </c>
      <c r="H18" s="7" t="n">
        <f aca="false">MOD(B18-G18+180,360)-180</f>
        <v>-14.5</v>
      </c>
      <c r="I18" s="7" t="n">
        <f aca="false">Supuestos!$C$7-(D18-Supuestos!$C$8)-Supuestos!$C$9</f>
        <v>25.3</v>
      </c>
      <c r="J18" s="7" t="n">
        <f aca="false">SQRT(C18^2+I18^2)</f>
        <v>165.742360306592</v>
      </c>
      <c r="K18" s="20" t="n">
        <f aca="false">DEGREES(ATAN2(C18,I18))</f>
        <v>8.78032946647167</v>
      </c>
      <c r="L18" s="20" t="n">
        <f aca="false">K18-(Supuestos!$C$21+Supuestos!$C$22)</f>
        <v>4.78032946647167</v>
      </c>
      <c r="M18" s="7" t="n">
        <f aca="false">MIN(6*(2*H18/Supuestos!$C$20)^2,Supuestos!$C$24)</f>
        <v>0.268847567797965</v>
      </c>
      <c r="N18" s="21" t="n">
        <f aca="false">PI()*Supuestos!$C$23/Supuestos!$C$6*SIN(RADIANS(L18))</f>
        <v>1.8588932715382</v>
      </c>
      <c r="O18" s="7" t="n">
        <f aca="false">IF(ABS(N18)&lt;0.000000001,0,MIN(-20*LOG10(MAX(ABS(SIN(N18)/N18),0.000001)),Supuestos!$C$25))</f>
        <v>5.75065250537771</v>
      </c>
      <c r="P18" s="7" t="n">
        <f aca="false">Supuestos!$C$19-M18-O18</f>
        <v>9.48049992682433</v>
      </c>
      <c r="Q18" s="7" t="n">
        <f aca="false">32.44+20*LOG10(J18/1000)+20*LOG10(Supuestos!$C$5*1000)</f>
        <v>92.0972302564563</v>
      </c>
      <c r="R18" s="7" t="n">
        <f aca="false">IF(E18&lt;=0,0,IF(E18&lt;=14,0.45*Supuestos!$C$5^0.284*E18,1.33*Supuestos!$C$5^0.284*MIN(E18,400)^0.588))</f>
        <v>8.15490205163753</v>
      </c>
      <c r="S18" s="7" t="n">
        <f aca="false">Q18+R18+Supuestos!$C$12+Supuestos!$C$13+Supuestos!$C$11-P18-Supuestos!$C$10</f>
        <v>69.5716323812696</v>
      </c>
      <c r="T18" s="7" t="n">
        <f aca="false">MCS!$E$5-S18-MCS!$G$5</f>
        <v>51.4283676187305</v>
      </c>
      <c r="U18" s="7" t="n">
        <f aca="false">T18-Supuestos!$C$15</f>
        <v>48.4283676187305</v>
      </c>
      <c r="V18" s="5" t="n">
        <f aca="false">SUMPRODUCT(--(MCS!$E$5:$E$14-$S18-MCS!$G$5:$G$14&gt;=Supuestos!$C$16))</f>
        <v>10</v>
      </c>
      <c r="W18" s="5" t="n">
        <f aca="false">SUMPRODUCT(--(MCS!$E$5:$E$14-Supuestos!$C$15-$S18-MCS!$G$5:$G$14&gt;=Supuestos!$C$16))</f>
        <v>10</v>
      </c>
      <c r="X18" s="6" t="str">
        <f aca="false">IF(V18=0,"ninguno",INDEX(MCS!$A$5:$A$14,V18))</f>
        <v>256QAM 5/6</v>
      </c>
      <c r="Y18" s="7" t="n">
        <f aca="false">IF(V18=0,0,INDEX(MCS!$F$5:$F$14,V18))</f>
        <v>192.592592592593</v>
      </c>
      <c r="Z18" s="7" t="n">
        <f aca="false">IF(W18=0,0,INDEX(MCS!$F$5:$F$14,W18))</f>
        <v>192.592592592593</v>
      </c>
      <c r="AA18" s="22" t="n">
        <f aca="false">IF(Y18&gt;0,Supuestos!$C$29*Supuestos!$C$30/(Supuestos!$C$17*Y18),0)</f>
        <v>0.00718934911242604</v>
      </c>
      <c r="AB18" s="22" t="n">
        <f aca="false">IF(Z18&gt;0,Supuestos!$C$29*Supuestos!$C$31/(Supuestos!$C$17*Z18),0)</f>
        <v>0.000898668639053254</v>
      </c>
    </row>
    <row r="19" customFormat="false" ht="15" hidden="false" customHeight="false" outlineLevel="0" collapsed="false">
      <c r="A19" s="13" t="n">
        <v>15</v>
      </c>
      <c r="B19" s="17" t="n">
        <v>267.3</v>
      </c>
      <c r="C19" s="18" t="n">
        <v>163.6</v>
      </c>
      <c r="D19" s="18" t="n">
        <v>204.7</v>
      </c>
      <c r="E19" s="19" t="n">
        <v>0</v>
      </c>
      <c r="F19" s="6" t="str">
        <f aca="false">IF(AND(B19&gt;=90,B19&lt;210),"S1",IF(AND(B19&gt;=210,B19&lt;330),"S2","S3"))</f>
        <v>S2</v>
      </c>
      <c r="G19" s="6" t="n">
        <f aca="false">IF(F19="S1",Supuestos!$C$26,IF(F19="S2",Supuestos!$C$27,Supuestos!$C$28))</f>
        <v>270</v>
      </c>
      <c r="H19" s="7" t="n">
        <f aca="false">MOD(B19-G19+180,360)-180</f>
        <v>-2.69999999999999</v>
      </c>
      <c r="I19" s="7" t="n">
        <f aca="false">Supuestos!$C$7-(D19-Supuestos!$C$8)-Supuestos!$C$9</f>
        <v>25.3</v>
      </c>
      <c r="J19" s="7" t="n">
        <f aca="false">SQRT(C19^2+I19^2)</f>
        <v>165.544706952533</v>
      </c>
      <c r="K19" s="20" t="n">
        <f aca="false">DEGREES(ATAN2(C19,I19))</f>
        <v>8.79089580043574</v>
      </c>
      <c r="L19" s="20" t="n">
        <f aca="false">K19-(Supuestos!$C$21+Supuestos!$C$22)</f>
        <v>4.79089580043574</v>
      </c>
      <c r="M19" s="7" t="n">
        <f aca="false">MIN(6*(2*H19/Supuestos!$C$20)^2,Supuestos!$C$24)</f>
        <v>0.00932175395599118</v>
      </c>
      <c r="N19" s="21" t="n">
        <f aca="false">PI()*Supuestos!$C$23/Supuestos!$C$6*SIN(RADIANS(L19))</f>
        <v>1.86299255794397</v>
      </c>
      <c r="O19" s="7" t="n">
        <f aca="false">IF(ABS(N19)&lt;0.000000001,0,MIN(-20*LOG10(MAX(ABS(SIN(N19)/N19),0.000001)),Supuestos!$C$25))</f>
        <v>5.78041676833343</v>
      </c>
      <c r="P19" s="7" t="n">
        <f aca="false">Supuestos!$C$19-M19-O19</f>
        <v>9.71026147771057</v>
      </c>
      <c r="Q19" s="7" t="n">
        <f aca="false">32.44+20*LOG10(J19/1000)+20*LOG10(Supuestos!$C$5*1000)</f>
        <v>92.0868658589696</v>
      </c>
      <c r="R19" s="7" t="n">
        <f aca="false">IF(E19&lt;=0,0,IF(E19&lt;=14,0.45*Supuestos!$C$5^0.284*E19,1.33*Supuestos!$C$5^0.284*MIN(E19,400)^0.588))</f>
        <v>0</v>
      </c>
      <c r="S19" s="7" t="n">
        <f aca="false">Q19+R19+Supuestos!$C$12+Supuestos!$C$13+Supuestos!$C$11-P19-Supuestos!$C$10</f>
        <v>61.176604381259</v>
      </c>
      <c r="T19" s="7" t="n">
        <f aca="false">MCS!$E$5-S19-MCS!$G$5</f>
        <v>59.823395618741</v>
      </c>
      <c r="U19" s="7" t="n">
        <f aca="false">T19-Supuestos!$C$15</f>
        <v>56.823395618741</v>
      </c>
      <c r="V19" s="5" t="n">
        <f aca="false">SUMPRODUCT(--(MCS!$E$5:$E$14-$S19-MCS!$G$5:$G$14&gt;=Supuestos!$C$16))</f>
        <v>10</v>
      </c>
      <c r="W19" s="5" t="n">
        <f aca="false">SUMPRODUCT(--(MCS!$E$5:$E$14-Supuestos!$C$15-$S19-MCS!$G$5:$G$14&gt;=Supuestos!$C$16))</f>
        <v>10</v>
      </c>
      <c r="X19" s="6" t="str">
        <f aca="false">IF(V19=0,"ninguno",INDEX(MCS!$A$5:$A$14,V19))</f>
        <v>256QAM 5/6</v>
      </c>
      <c r="Y19" s="7" t="n">
        <f aca="false">IF(V19=0,0,INDEX(MCS!$F$5:$F$14,V19))</f>
        <v>192.592592592593</v>
      </c>
      <c r="Z19" s="7" t="n">
        <f aca="false">IF(W19=0,0,INDEX(MCS!$F$5:$F$14,W19))</f>
        <v>192.592592592593</v>
      </c>
      <c r="AA19" s="22" t="n">
        <f aca="false">IF(Y19&gt;0,Supuestos!$C$29*Supuestos!$C$30/(Supuestos!$C$17*Y19),0)</f>
        <v>0.00718934911242604</v>
      </c>
      <c r="AB19" s="22" t="n">
        <f aca="false">IF(Z19&gt;0,Supuestos!$C$29*Supuestos!$C$31/(Supuestos!$C$17*Z19),0)</f>
        <v>0.000898668639053254</v>
      </c>
    </row>
    <row r="20" customFormat="false" ht="15" hidden="false" customHeight="false" outlineLevel="0" collapsed="false">
      <c r="A20" s="13" t="n">
        <v>16</v>
      </c>
      <c r="B20" s="17" t="n">
        <v>262.5</v>
      </c>
      <c r="C20" s="18" t="n">
        <v>131.9</v>
      </c>
      <c r="D20" s="18" t="n">
        <v>204.8</v>
      </c>
      <c r="E20" s="19" t="n">
        <v>9</v>
      </c>
      <c r="F20" s="6" t="str">
        <f aca="false">IF(AND(B20&gt;=90,B20&lt;210),"S1",IF(AND(B20&gt;=210,B20&lt;330),"S2","S3"))</f>
        <v>S2</v>
      </c>
      <c r="G20" s="6" t="n">
        <f aca="false">IF(F20="S1",Supuestos!$C$26,IF(F20="S2",Supuestos!$C$27,Supuestos!$C$28))</f>
        <v>270</v>
      </c>
      <c r="H20" s="7" t="n">
        <f aca="false">MOD(B20-G20+180,360)-180</f>
        <v>-7.5</v>
      </c>
      <c r="I20" s="7" t="n">
        <f aca="false">Supuestos!$C$7-(D20-Supuestos!$C$8)-Supuestos!$C$9</f>
        <v>25.2</v>
      </c>
      <c r="J20" s="7" t="n">
        <f aca="false">SQRT(C20^2+I20^2)</f>
        <v>134.285702887538</v>
      </c>
      <c r="K20" s="20" t="n">
        <f aca="false">DEGREES(ATAN2(C20,I20))</f>
        <v>10.8162319734351</v>
      </c>
      <c r="L20" s="20" t="n">
        <f aca="false">K20-(Supuestos!$C$21+Supuestos!$C$22)</f>
        <v>6.81623197343514</v>
      </c>
      <c r="M20" s="7" t="n">
        <f aca="false">MIN(6*(2*H20/Supuestos!$C$20)^2,Supuestos!$C$24)</f>
        <v>0.0719271138579573</v>
      </c>
      <c r="N20" s="21" t="n">
        <f aca="false">PI()*Supuestos!$C$23/Supuestos!$C$6*SIN(RADIANS(L20))</f>
        <v>2.64740300329746</v>
      </c>
      <c r="O20" s="7" t="n">
        <f aca="false">IF(ABS(N20)&lt;0.000000001,0,MIN(-20*LOG10(MAX(ABS(SIN(N20)/N20),0.000001)),Supuestos!$C$25))</f>
        <v>14.935001459066</v>
      </c>
      <c r="P20" s="7" t="n">
        <f aca="false">Supuestos!$C$19-M20-O20</f>
        <v>0.493071427076018</v>
      </c>
      <c r="Q20" s="7" t="n">
        <f aca="false">32.44+20*LOG10(J20/1000)+20*LOG10(Supuestos!$C$5*1000)</f>
        <v>90.2691554057089</v>
      </c>
      <c r="R20" s="7" t="n">
        <f aca="false">IF(E20&lt;=0,0,IF(E20&lt;=14,0.45*Supuestos!$C$5^0.284*E20,1.33*Supuestos!$C$5^0.284*MIN(E20,400)^0.588))</f>
        <v>6.67219258770343</v>
      </c>
      <c r="S20" s="7" t="n">
        <f aca="false">Q20+R20+Supuestos!$C$12+Supuestos!$C$13+Supuestos!$C$11-P20-Supuestos!$C$10</f>
        <v>75.2482765663363</v>
      </c>
      <c r="T20" s="7" t="n">
        <f aca="false">MCS!$E$5-S20-MCS!$G$5</f>
        <v>45.7517234336637</v>
      </c>
      <c r="U20" s="7" t="n">
        <f aca="false">T20-Supuestos!$C$15</f>
        <v>42.7517234336637</v>
      </c>
      <c r="V20" s="5" t="n">
        <f aca="false">SUMPRODUCT(--(MCS!$E$5:$E$14-$S20-MCS!$G$5:$G$14&gt;=Supuestos!$C$16))</f>
        <v>9</v>
      </c>
      <c r="W20" s="5" t="n">
        <f aca="false">SUMPRODUCT(--(MCS!$E$5:$E$14-Supuestos!$C$15-$S20-MCS!$G$5:$G$14&gt;=Supuestos!$C$16))</f>
        <v>9</v>
      </c>
      <c r="X20" s="6" t="str">
        <f aca="false">IF(V20=0,"ninguno",INDEX(MCS!$A$5:$A$14,V20))</f>
        <v>256QAM 3/4</v>
      </c>
      <c r="Y20" s="7" t="n">
        <f aca="false">IF(V20=0,0,INDEX(MCS!$F$5:$F$14,V20))</f>
        <v>173.333333333333</v>
      </c>
      <c r="Z20" s="7" t="n">
        <f aca="false">IF(W20=0,0,INDEX(MCS!$F$5:$F$14,W20))</f>
        <v>173.333333333333</v>
      </c>
      <c r="AA20" s="22" t="n">
        <f aca="false">IF(Y20&gt;0,Supuestos!$C$29*Supuestos!$C$30/(Supuestos!$C$17*Y20),0)</f>
        <v>0.00798816568047337</v>
      </c>
      <c r="AB20" s="22" t="n">
        <f aca="false">IF(Z20&gt;0,Supuestos!$C$29*Supuestos!$C$31/(Supuestos!$C$17*Z20),0)</f>
        <v>0.000998520710059172</v>
      </c>
    </row>
    <row r="21" customFormat="false" ht="15" hidden="false" customHeight="false" outlineLevel="0" collapsed="false">
      <c r="A21" s="13" t="n">
        <v>17</v>
      </c>
      <c r="B21" s="17" t="n">
        <v>251</v>
      </c>
      <c r="C21" s="18" t="n">
        <v>75.9</v>
      </c>
      <c r="D21" s="18" t="n">
        <v>205.1</v>
      </c>
      <c r="E21" s="19" t="n">
        <v>5</v>
      </c>
      <c r="F21" s="6" t="str">
        <f aca="false">IF(AND(B21&gt;=90,B21&lt;210),"S1",IF(AND(B21&gt;=210,B21&lt;330),"S2","S3"))</f>
        <v>S2</v>
      </c>
      <c r="G21" s="6" t="n">
        <f aca="false">IF(F21="S1",Supuestos!$C$26,IF(F21="S2",Supuestos!$C$27,Supuestos!$C$28))</f>
        <v>270</v>
      </c>
      <c r="H21" s="7" t="n">
        <f aca="false">MOD(B21-G21+180,360)-180</f>
        <v>-19</v>
      </c>
      <c r="I21" s="7" t="n">
        <f aca="false">Supuestos!$C$7-(D21-Supuestos!$C$8)-Supuestos!$C$9</f>
        <v>24.9</v>
      </c>
      <c r="J21" s="7" t="n">
        <f aca="false">SQRT(C21^2+I21^2)</f>
        <v>79.8800350525712</v>
      </c>
      <c r="K21" s="20" t="n">
        <f aca="false">DEGREES(ATAN2(C21,I21))</f>
        <v>18.1627618941849</v>
      </c>
      <c r="L21" s="20" t="n">
        <f aca="false">K21-(Supuestos!$C$21+Supuestos!$C$22)</f>
        <v>14.1627618941849</v>
      </c>
      <c r="M21" s="7" t="n">
        <f aca="false">MIN(6*(2*H21/Supuestos!$C$20)^2,Supuestos!$C$24)</f>
        <v>0.46161223293729</v>
      </c>
      <c r="N21" s="21" t="n">
        <f aca="false">PI()*Supuestos!$C$23/Supuestos!$C$6*SIN(RADIANS(L21))</f>
        <v>5.45779029412236</v>
      </c>
      <c r="O21" s="7" t="n">
        <f aca="false">IF(ABS(N21)&lt;0.000000001,0,MIN(-20*LOG10(MAX(ABS(SIN(N21)/N21),0.000001)),Supuestos!$C$25))</f>
        <v>17.4167676026479</v>
      </c>
      <c r="P21" s="7" t="n">
        <f aca="false">Supuestos!$C$19-M21-O21</f>
        <v>-2.37837983558518</v>
      </c>
      <c r="Q21" s="7" t="n">
        <f aca="false">32.44+20*LOG10(J21/1000)+20*LOG10(Supuestos!$C$5*1000)</f>
        <v>85.757324806733</v>
      </c>
      <c r="R21" s="7" t="n">
        <f aca="false">IF(E21&lt;=0,0,IF(E21&lt;=14,0.45*Supuestos!$C$5^0.284*E21,1.33*Supuestos!$C$5^0.284*MIN(E21,400)^0.588))</f>
        <v>3.70677365983524</v>
      </c>
      <c r="S21" s="7" t="n">
        <f aca="false">Q21+R21+Supuestos!$C$12+Supuestos!$C$13+Supuestos!$C$11-P21-Supuestos!$C$10</f>
        <v>70.6424783021534</v>
      </c>
      <c r="T21" s="7" t="n">
        <f aca="false">MCS!$E$5-S21-MCS!$G$5</f>
        <v>50.3575216978466</v>
      </c>
      <c r="U21" s="7" t="n">
        <f aca="false">T21-Supuestos!$C$15</f>
        <v>47.3575216978466</v>
      </c>
      <c r="V21" s="5" t="n">
        <f aca="false">SUMPRODUCT(--(MCS!$E$5:$E$14-$S21-MCS!$G$5:$G$14&gt;=Supuestos!$C$16))</f>
        <v>10</v>
      </c>
      <c r="W21" s="5" t="n">
        <f aca="false">SUMPRODUCT(--(MCS!$E$5:$E$14-Supuestos!$C$15-$S21-MCS!$G$5:$G$14&gt;=Supuestos!$C$16))</f>
        <v>10</v>
      </c>
      <c r="X21" s="6" t="str">
        <f aca="false">IF(V21=0,"ninguno",INDEX(MCS!$A$5:$A$14,V21))</f>
        <v>256QAM 5/6</v>
      </c>
      <c r="Y21" s="7" t="n">
        <f aca="false">IF(V21=0,0,INDEX(MCS!$F$5:$F$14,V21))</f>
        <v>192.592592592593</v>
      </c>
      <c r="Z21" s="7" t="n">
        <f aca="false">IF(W21=0,0,INDEX(MCS!$F$5:$F$14,W21))</f>
        <v>192.592592592593</v>
      </c>
      <c r="AA21" s="22" t="n">
        <f aca="false">IF(Y21&gt;0,Supuestos!$C$29*Supuestos!$C$30/(Supuestos!$C$17*Y21),0)</f>
        <v>0.00718934911242604</v>
      </c>
      <c r="AB21" s="22" t="n">
        <f aca="false">IF(Z21&gt;0,Supuestos!$C$29*Supuestos!$C$31/(Supuestos!$C$17*Z21),0)</f>
        <v>0.000898668639053254</v>
      </c>
    </row>
    <row r="22" customFormat="false" ht="15" hidden="false" customHeight="false" outlineLevel="0" collapsed="false">
      <c r="A22" s="13" t="n">
        <v>18</v>
      </c>
      <c r="B22" s="17" t="n">
        <v>279.9</v>
      </c>
      <c r="C22" s="18" t="n">
        <v>160.8</v>
      </c>
      <c r="D22" s="18" t="n">
        <v>205.6</v>
      </c>
      <c r="E22" s="19" t="n">
        <v>46</v>
      </c>
      <c r="F22" s="6" t="str">
        <f aca="false">IF(AND(B22&gt;=90,B22&lt;210),"S1",IF(AND(B22&gt;=210,B22&lt;330),"S2","S3"))</f>
        <v>S2</v>
      </c>
      <c r="G22" s="6" t="n">
        <f aca="false">IF(F22="S1",Supuestos!$C$26,IF(F22="S2",Supuestos!$C$27,Supuestos!$C$28))</f>
        <v>270</v>
      </c>
      <c r="H22" s="7" t="n">
        <f aca="false">MOD(B22-G22+180,360)-180</f>
        <v>9.89999999999998</v>
      </c>
      <c r="I22" s="7" t="n">
        <f aca="false">Supuestos!$C$7-(D22-Supuestos!$C$8)-Supuestos!$C$9</f>
        <v>24.4</v>
      </c>
      <c r="J22" s="7" t="n">
        <f aca="false">SQRT(C22^2+I22^2)</f>
        <v>162.640708311296</v>
      </c>
      <c r="K22" s="20" t="n">
        <f aca="false">DEGREES(ATAN2(C22,I22))</f>
        <v>8.62831396676962</v>
      </c>
      <c r="L22" s="20" t="n">
        <f aca="false">K22-(Supuestos!$C$21+Supuestos!$C$22)</f>
        <v>4.62831396676962</v>
      </c>
      <c r="M22" s="7" t="n">
        <f aca="false">MIN(6*(2*H22/Supuestos!$C$20)^2,Supuestos!$C$24)</f>
        <v>0.125325803186104</v>
      </c>
      <c r="N22" s="21" t="n">
        <f aca="false">PI()*Supuestos!$C$23/Supuestos!$C$6*SIN(RADIANS(L22))</f>
        <v>1.79991081999222</v>
      </c>
      <c r="O22" s="7" t="n">
        <f aca="false">IF(ABS(N22)&lt;0.000000001,0,MIN(-20*LOG10(MAX(ABS(SIN(N22)/N22),0.000001)),Supuestos!$C$25))</f>
        <v>5.33501883012958</v>
      </c>
      <c r="P22" s="7" t="n">
        <f aca="false">Supuestos!$C$19-M22-O22</f>
        <v>10.0396553666843</v>
      </c>
      <c r="Q22" s="7" t="n">
        <f aca="false">32.44+20*LOG10(J22/1000)+20*LOG10(Supuestos!$C$5*1000)</f>
        <v>91.9331450115782</v>
      </c>
      <c r="R22" s="7" t="n">
        <f aca="false">IF(E22&lt;=0,0,IF(E22&lt;=14,0.45*Supuestos!$C$5^0.284*E22,1.33*Supuestos!$C$5^0.284*MIN(E22,400)^0.588))</f>
        <v>20.8145389800646</v>
      </c>
      <c r="S22" s="7" t="n">
        <f aca="false">Q22+R22+Supuestos!$C$12+Supuestos!$C$13+Supuestos!$C$11-P22-Supuestos!$C$10</f>
        <v>81.5080286249584</v>
      </c>
      <c r="T22" s="7" t="n">
        <f aca="false">MCS!$E$5-S22-MCS!$G$5</f>
        <v>39.4919713750416</v>
      </c>
      <c r="U22" s="7" t="n">
        <f aca="false">T22-Supuestos!$C$15</f>
        <v>36.4919713750416</v>
      </c>
      <c r="V22" s="5" t="n">
        <f aca="false">SUMPRODUCT(--(MCS!$E$5:$E$14-$S22-MCS!$G$5:$G$14&gt;=Supuestos!$C$16))</f>
        <v>8</v>
      </c>
      <c r="W22" s="5" t="n">
        <f aca="false">SUMPRODUCT(--(MCS!$E$5:$E$14-Supuestos!$C$15-$S22-MCS!$G$5:$G$14&gt;=Supuestos!$C$16))</f>
        <v>8</v>
      </c>
      <c r="X22" s="6" t="str">
        <f aca="false">IF(V22=0,"ninguno",INDEX(MCS!$A$5:$A$14,V22))</f>
        <v>64QAM 5/6</v>
      </c>
      <c r="Y22" s="7" t="n">
        <f aca="false">IF(V22=0,0,INDEX(MCS!$F$5:$F$14,V22))</f>
        <v>144.444444444444</v>
      </c>
      <c r="Z22" s="7" t="n">
        <f aca="false">IF(W22=0,0,INDEX(MCS!$F$5:$F$14,W22))</f>
        <v>144.444444444444</v>
      </c>
      <c r="AA22" s="22" t="n">
        <f aca="false">IF(Y22&gt;0,Supuestos!$C$29*Supuestos!$C$30/(Supuestos!$C$17*Y22),0)</f>
        <v>0.00958579881656805</v>
      </c>
      <c r="AB22" s="22" t="n">
        <f aca="false">IF(Z22&gt;0,Supuestos!$C$29*Supuestos!$C$31/(Supuestos!$C$17*Z22),0)</f>
        <v>0.00119822485207101</v>
      </c>
    </row>
    <row r="23" customFormat="false" ht="15" hidden="false" customHeight="false" outlineLevel="0" collapsed="false">
      <c r="A23" s="13" t="n">
        <v>19</v>
      </c>
      <c r="B23" s="17" t="n">
        <v>280.6</v>
      </c>
      <c r="C23" s="18" t="n">
        <v>194.7</v>
      </c>
      <c r="D23" s="18" t="n">
        <v>205.8</v>
      </c>
      <c r="E23" s="19" t="n">
        <v>39</v>
      </c>
      <c r="F23" s="6" t="str">
        <f aca="false">IF(AND(B23&gt;=90,B23&lt;210),"S1",IF(AND(B23&gt;=210,B23&lt;330),"S2","S3"))</f>
        <v>S2</v>
      </c>
      <c r="G23" s="6" t="n">
        <f aca="false">IF(F23="S1",Supuestos!$C$26,IF(F23="S2",Supuestos!$C$27,Supuestos!$C$28))</f>
        <v>270</v>
      </c>
      <c r="H23" s="7" t="n">
        <f aca="false">MOD(B23-G23+180,360)-180</f>
        <v>10.6</v>
      </c>
      <c r="I23" s="7" t="n">
        <f aca="false">Supuestos!$C$7-(D23-Supuestos!$C$8)-Supuestos!$C$9</f>
        <v>24.2</v>
      </c>
      <c r="J23" s="7" t="n">
        <f aca="false">SQRT(C23^2+I23^2)</f>
        <v>196.198190613471</v>
      </c>
      <c r="K23" s="20" t="n">
        <f aca="false">DEGREES(ATAN2(C23,I23))</f>
        <v>7.08517228055889</v>
      </c>
      <c r="L23" s="20" t="n">
        <f aca="false">K23-(Supuestos!$C$21+Supuestos!$C$22)</f>
        <v>3.08517228055889</v>
      </c>
      <c r="M23" s="7" t="n">
        <f aca="false">MIN(6*(2*H23/Supuestos!$C$20)^2,Supuestos!$C$24)</f>
        <v>0.143675209121424</v>
      </c>
      <c r="N23" s="21" t="n">
        <f aca="false">PI()*Supuestos!$C$23/Supuestos!$C$6*SIN(RADIANS(L23))</f>
        <v>1.20052201189982</v>
      </c>
      <c r="O23" s="7" t="n">
        <f aca="false">IF(ABS(N23)&lt;0.000000001,0,MIN(-20*LOG10(MAX(ABS(SIN(N23)/N23),0.000001)),Supuestos!$C$25))</f>
        <v>2.19695862352929</v>
      </c>
      <c r="P23" s="7" t="n">
        <f aca="false">Supuestos!$C$19-M23-O23</f>
        <v>13.1593661673493</v>
      </c>
      <c r="Q23" s="7" t="n">
        <f aca="false">32.44+20*LOG10(J23/1000)+20*LOG10(Supuestos!$C$5*1000)</f>
        <v>93.5624598291599</v>
      </c>
      <c r="R23" s="7" t="n">
        <f aca="false">IF(E23&lt;=0,0,IF(E23&lt;=14,0.45*Supuestos!$C$5^0.284*E23,1.33*Supuestos!$C$5^0.284*MIN(E23,400)^0.588))</f>
        <v>18.889096271681</v>
      </c>
      <c r="S23" s="7" t="n">
        <f aca="false">Q23+R23+Supuestos!$C$12+Supuestos!$C$13+Supuestos!$C$11-P23-Supuestos!$C$10</f>
        <v>78.0921899334917</v>
      </c>
      <c r="T23" s="7" t="n">
        <f aca="false">MCS!$E$5-S23-MCS!$G$5</f>
        <v>42.9078100665084</v>
      </c>
      <c r="U23" s="7" t="n">
        <f aca="false">T23-Supuestos!$C$15</f>
        <v>39.9078100665084</v>
      </c>
      <c r="V23" s="5" t="n">
        <f aca="false">SUMPRODUCT(--(MCS!$E$5:$E$14-$S23-MCS!$G$5:$G$14&gt;=Supuestos!$C$16))</f>
        <v>9</v>
      </c>
      <c r="W23" s="5" t="n">
        <f aca="false">SUMPRODUCT(--(MCS!$E$5:$E$14-Supuestos!$C$15-$S23-MCS!$G$5:$G$14&gt;=Supuestos!$C$16))</f>
        <v>8</v>
      </c>
      <c r="X23" s="6" t="str">
        <f aca="false">IF(V23=0,"ninguno",INDEX(MCS!$A$5:$A$14,V23))</f>
        <v>256QAM 3/4</v>
      </c>
      <c r="Y23" s="7" t="n">
        <f aca="false">IF(V23=0,0,INDEX(MCS!$F$5:$F$14,V23))</f>
        <v>173.333333333333</v>
      </c>
      <c r="Z23" s="7" t="n">
        <f aca="false">IF(W23=0,0,INDEX(MCS!$F$5:$F$14,W23))</f>
        <v>144.444444444444</v>
      </c>
      <c r="AA23" s="22" t="n">
        <f aca="false">IF(Y23&gt;0,Supuestos!$C$29*Supuestos!$C$30/(Supuestos!$C$17*Y23),0)</f>
        <v>0.00798816568047337</v>
      </c>
      <c r="AB23" s="22" t="n">
        <f aca="false">IF(Z23&gt;0,Supuestos!$C$29*Supuestos!$C$31/(Supuestos!$C$17*Z23),0)</f>
        <v>0.00119822485207101</v>
      </c>
    </row>
    <row r="24" customFormat="false" ht="15" hidden="false" customHeight="false" outlineLevel="0" collapsed="false">
      <c r="A24" s="13" t="n">
        <v>20</v>
      </c>
      <c r="B24" s="17" t="n">
        <v>281.5</v>
      </c>
      <c r="C24" s="18" t="n">
        <v>259.2</v>
      </c>
      <c r="D24" s="18" t="n">
        <v>207.6</v>
      </c>
      <c r="E24" s="19" t="n">
        <v>38</v>
      </c>
      <c r="F24" s="6" t="str">
        <f aca="false">IF(AND(B24&gt;=90,B24&lt;210),"S1",IF(AND(B24&gt;=210,B24&lt;330),"S2","S3"))</f>
        <v>S2</v>
      </c>
      <c r="G24" s="6" t="n">
        <f aca="false">IF(F24="S1",Supuestos!$C$26,IF(F24="S2",Supuestos!$C$27,Supuestos!$C$28))</f>
        <v>270</v>
      </c>
      <c r="H24" s="7" t="n">
        <f aca="false">MOD(B24-G24+180,360)-180</f>
        <v>11.5</v>
      </c>
      <c r="I24" s="7" t="n">
        <f aca="false">Supuestos!$C$7-(D24-Supuestos!$C$8)-Supuestos!$C$9</f>
        <v>22.4</v>
      </c>
      <c r="J24" s="7" t="n">
        <f aca="false">SQRT(C24^2+I24^2)</f>
        <v>260.166100789476</v>
      </c>
      <c r="K24" s="20" t="n">
        <f aca="false">DEGREES(ATAN2(C24,I24))</f>
        <v>4.9392155421262</v>
      </c>
      <c r="L24" s="20" t="n">
        <f aca="false">K24-(Supuestos!$C$21+Supuestos!$C$22)</f>
        <v>0.9392155421262</v>
      </c>
      <c r="M24" s="7" t="n">
        <f aca="false">MIN(6*(2*H24/Supuestos!$C$20)^2,Supuestos!$C$24)</f>
        <v>0.169108636581597</v>
      </c>
      <c r="N24" s="21" t="n">
        <f aca="false">PI()*Supuestos!$C$23/Supuestos!$C$6*SIN(RADIANS(L24))</f>
        <v>0.365633867060545</v>
      </c>
      <c r="O24" s="7" t="n">
        <f aca="false">IF(ABS(N24)&lt;0.000000001,0,MIN(-20*LOG10(MAX(ABS(SIN(N24)/N24),0.000001)),Supuestos!$C$25))</f>
        <v>0.194403214756793</v>
      </c>
      <c r="P24" s="7" t="n">
        <f aca="false">Supuestos!$C$19-M24-O24</f>
        <v>15.1364881486616</v>
      </c>
      <c r="Q24" s="7" t="n">
        <f aca="false">32.44+20*LOG10(J24/1000)+20*LOG10(Supuestos!$C$5*1000)</f>
        <v>96.0135740325133</v>
      </c>
      <c r="R24" s="7" t="n">
        <f aca="false">IF(E24&lt;=0,0,IF(E24&lt;=14,0.45*Supuestos!$C$5^0.284*E24,1.33*Supuestos!$C$5^0.284*MIN(E24,400)^0.588))</f>
        <v>18.6027841078903</v>
      </c>
      <c r="S24" s="7" t="n">
        <f aca="false">Q24+R24+Supuestos!$C$12+Supuestos!$C$13+Supuestos!$C$11-P24-Supuestos!$C$10</f>
        <v>78.279869991742</v>
      </c>
      <c r="T24" s="7" t="n">
        <f aca="false">MCS!$E$5-S24-MCS!$G$5</f>
        <v>42.720130008258</v>
      </c>
      <c r="U24" s="7" t="n">
        <f aca="false">T24-Supuestos!$C$15</f>
        <v>39.720130008258</v>
      </c>
      <c r="V24" s="5" t="n">
        <f aca="false">SUMPRODUCT(--(MCS!$E$5:$E$14-$S24-MCS!$G$5:$G$14&gt;=Supuestos!$C$16))</f>
        <v>9</v>
      </c>
      <c r="W24" s="5" t="n">
        <f aca="false">SUMPRODUCT(--(MCS!$E$5:$E$14-Supuestos!$C$15-$S24-MCS!$G$5:$G$14&gt;=Supuestos!$C$16))</f>
        <v>8</v>
      </c>
      <c r="X24" s="6" t="str">
        <f aca="false">IF(V24=0,"ninguno",INDEX(MCS!$A$5:$A$14,V24))</f>
        <v>256QAM 3/4</v>
      </c>
      <c r="Y24" s="7" t="n">
        <f aca="false">IF(V24=0,0,INDEX(MCS!$F$5:$F$14,V24))</f>
        <v>173.333333333333</v>
      </c>
      <c r="Z24" s="7" t="n">
        <f aca="false">IF(W24=0,0,INDEX(MCS!$F$5:$F$14,W24))</f>
        <v>144.444444444444</v>
      </c>
      <c r="AA24" s="22" t="n">
        <f aca="false">IF(Y24&gt;0,Supuestos!$C$29*Supuestos!$C$30/(Supuestos!$C$17*Y24),0)</f>
        <v>0.00798816568047337</v>
      </c>
      <c r="AB24" s="22" t="n">
        <f aca="false">IF(Z24&gt;0,Supuestos!$C$29*Supuestos!$C$31/(Supuestos!$C$17*Z24),0)</f>
        <v>0.00119822485207101</v>
      </c>
    </row>
    <row r="25" customFormat="false" ht="15" hidden="false" customHeight="false" outlineLevel="0" collapsed="false">
      <c r="A25" s="13" t="n">
        <v>21</v>
      </c>
      <c r="B25" s="17" t="n">
        <v>281.1</v>
      </c>
      <c r="C25" s="18" t="n">
        <v>287.8</v>
      </c>
      <c r="D25" s="18" t="n">
        <v>208.7</v>
      </c>
      <c r="E25" s="19" t="n">
        <v>21</v>
      </c>
      <c r="F25" s="6" t="str">
        <f aca="false">IF(AND(B25&gt;=90,B25&lt;210),"S1",IF(AND(B25&gt;=210,B25&lt;330),"S2","S3"))</f>
        <v>S2</v>
      </c>
      <c r="G25" s="6" t="n">
        <f aca="false">IF(F25="S1",Supuestos!$C$26,IF(F25="S2",Supuestos!$C$27,Supuestos!$C$28))</f>
        <v>270</v>
      </c>
      <c r="H25" s="7" t="n">
        <f aca="false">MOD(B25-G25+180,360)-180</f>
        <v>11.1</v>
      </c>
      <c r="I25" s="7" t="n">
        <f aca="false">Supuestos!$C$7-(D25-Supuestos!$C$8)-Supuestos!$C$9</f>
        <v>21.3</v>
      </c>
      <c r="J25" s="7" t="n">
        <f aca="false">SQRT(C25^2+I25^2)</f>
        <v>288.587127225038</v>
      </c>
      <c r="K25" s="20" t="n">
        <f aca="false">DEGREES(ATAN2(C25,I25))</f>
        <v>4.23272819770249</v>
      </c>
      <c r="L25" s="20" t="n">
        <f aca="false">K25-(Supuestos!$C$21+Supuestos!$C$22)</f>
        <v>0.232728197702492</v>
      </c>
      <c r="M25" s="7" t="n">
        <f aca="false">MIN(6*(2*H25/Supuestos!$C$20)^2,Supuestos!$C$24)</f>
        <v>0.15754915019447</v>
      </c>
      <c r="N25" s="21" t="n">
        <f aca="false">PI()*Supuestos!$C$23/Supuestos!$C$6*SIN(RADIANS(L25))</f>
        <v>0.0906042160922645</v>
      </c>
      <c r="O25" s="7" t="n">
        <f aca="false">IF(ABS(N25)&lt;0.000000001,0,MIN(-20*LOG10(MAX(ABS(SIN(N25)/N25),0.000001)),Supuestos!$C$25))</f>
        <v>0.0118871777263108</v>
      </c>
      <c r="P25" s="7" t="n">
        <f aca="false">Supuestos!$C$19-M25-O25</f>
        <v>15.3305636720792</v>
      </c>
      <c r="Q25" s="7" t="n">
        <f aca="false">32.44+20*LOG10(J25/1000)+20*LOG10(Supuestos!$C$5*1000)</f>
        <v>96.9140989705234</v>
      </c>
      <c r="R25" s="7" t="n">
        <f aca="false">IF(E25&lt;=0,0,IF(E25&lt;=14,0.45*Supuestos!$C$5^0.284*E25,1.33*Supuestos!$C$5^0.284*MIN(E25,400)^0.588))</f>
        <v>13.1259315894139</v>
      </c>
      <c r="S25" s="7" t="n">
        <f aca="false">Q25+R25+Supuestos!$C$12+Supuestos!$C$13+Supuestos!$C$11-P25-Supuestos!$C$10</f>
        <v>73.5094668878581</v>
      </c>
      <c r="T25" s="7" t="n">
        <f aca="false">MCS!$E$5-S25-MCS!$G$5</f>
        <v>47.4905331121419</v>
      </c>
      <c r="U25" s="7" t="n">
        <f aca="false">T25-Supuestos!$C$15</f>
        <v>44.4905331121419</v>
      </c>
      <c r="V25" s="5" t="n">
        <f aca="false">SUMPRODUCT(--(MCS!$E$5:$E$14-$S25-MCS!$G$5:$G$14&gt;=Supuestos!$C$16))</f>
        <v>10</v>
      </c>
      <c r="W25" s="5" t="n">
        <f aca="false">SUMPRODUCT(--(MCS!$E$5:$E$14-Supuestos!$C$15-$S25-MCS!$G$5:$G$14&gt;=Supuestos!$C$16))</f>
        <v>9</v>
      </c>
      <c r="X25" s="6" t="str">
        <f aca="false">IF(V25=0,"ninguno",INDEX(MCS!$A$5:$A$14,V25))</f>
        <v>256QAM 5/6</v>
      </c>
      <c r="Y25" s="7" t="n">
        <f aca="false">IF(V25=0,0,INDEX(MCS!$F$5:$F$14,V25))</f>
        <v>192.592592592593</v>
      </c>
      <c r="Z25" s="7" t="n">
        <f aca="false">IF(W25=0,0,INDEX(MCS!$F$5:$F$14,W25))</f>
        <v>173.333333333333</v>
      </c>
      <c r="AA25" s="22" t="n">
        <f aca="false">IF(Y25&gt;0,Supuestos!$C$29*Supuestos!$C$30/(Supuestos!$C$17*Y25),0)</f>
        <v>0.00718934911242604</v>
      </c>
      <c r="AB25" s="22" t="n">
        <f aca="false">IF(Z25&gt;0,Supuestos!$C$29*Supuestos!$C$31/(Supuestos!$C$17*Z25),0)</f>
        <v>0.000998520710059172</v>
      </c>
    </row>
    <row r="26" customFormat="false" ht="15" hidden="false" customHeight="false" outlineLevel="0" collapsed="false">
      <c r="A26" s="13" t="n">
        <v>22</v>
      </c>
      <c r="B26" s="17" t="n">
        <v>280.3</v>
      </c>
      <c r="C26" s="18" t="n">
        <v>322.6</v>
      </c>
      <c r="D26" s="18" t="n">
        <v>210.2</v>
      </c>
      <c r="E26" s="19" t="n">
        <v>7</v>
      </c>
      <c r="F26" s="6" t="str">
        <f aca="false">IF(AND(B26&gt;=90,B26&lt;210),"S1",IF(AND(B26&gt;=210,B26&lt;330),"S2","S3"))</f>
        <v>S2</v>
      </c>
      <c r="G26" s="6" t="n">
        <f aca="false">IF(F26="S1",Supuestos!$C$26,IF(F26="S2",Supuestos!$C$27,Supuestos!$C$28))</f>
        <v>270</v>
      </c>
      <c r="H26" s="7" t="n">
        <f aca="false">MOD(B26-G26+180,360)-180</f>
        <v>10.3</v>
      </c>
      <c r="I26" s="7" t="n">
        <f aca="false">Supuestos!$C$7-(D26-Supuestos!$C$8)-Supuestos!$C$9</f>
        <v>19.8</v>
      </c>
      <c r="J26" s="7" t="n">
        <f aca="false">SQRT(C26^2+I26^2)</f>
        <v>323.207054378459</v>
      </c>
      <c r="K26" s="20" t="n">
        <f aca="false">DEGREES(ATAN2(C26,I26))</f>
        <v>3.51219816038828</v>
      </c>
      <c r="L26" s="20" t="n">
        <f aca="false">K26-(Supuestos!$C$21+Supuestos!$C$22)</f>
        <v>-0.487801839611721</v>
      </c>
      <c r="M26" s="7" t="n">
        <f aca="false">MIN(6*(2*H26/Supuestos!$C$20)^2,Supuestos!$C$24)</f>
        <v>0.135657733496724</v>
      </c>
      <c r="N26" s="21" t="n">
        <f aca="false">PI()*Supuestos!$C$23/Supuestos!$C$6*SIN(RADIANS(L26))</f>
        <v>-0.189906042021414</v>
      </c>
      <c r="O26" s="7" t="n">
        <f aca="false">IF(ABS(N26)&lt;0.000000001,0,MIN(-20*LOG10(MAX(ABS(SIN(N26)/N26),0.000001)),Supuestos!$C$25))</f>
        <v>0.0522713346804433</v>
      </c>
      <c r="P26" s="7" t="n">
        <f aca="false">Supuestos!$C$19-M26-O26</f>
        <v>15.3120709318228</v>
      </c>
      <c r="Q26" s="7" t="n">
        <f aca="false">32.44+20*LOG10(J26/1000)+20*LOG10(Supuestos!$C$5*1000)</f>
        <v>97.898176495253</v>
      </c>
      <c r="R26" s="7" t="n">
        <f aca="false">IF(E26&lt;=0,0,IF(E26&lt;=14,0.45*Supuestos!$C$5^0.284*E26,1.33*Supuestos!$C$5^0.284*MIN(E26,400)^0.588))</f>
        <v>5.18948312376934</v>
      </c>
      <c r="S26" s="7" t="n">
        <f aca="false">Q26+R26+Supuestos!$C$12+Supuestos!$C$13+Supuestos!$C$11-P26-Supuestos!$C$10</f>
        <v>66.5755886871995</v>
      </c>
      <c r="T26" s="7" t="n">
        <f aca="false">MCS!$E$5-S26-MCS!$G$5</f>
        <v>54.4244113128005</v>
      </c>
      <c r="U26" s="7" t="n">
        <f aca="false">T26-Supuestos!$C$15</f>
        <v>51.4244113128005</v>
      </c>
      <c r="V26" s="5" t="n">
        <f aca="false">SUMPRODUCT(--(MCS!$E$5:$E$14-$S26-MCS!$G$5:$G$14&gt;=Supuestos!$C$16))</f>
        <v>10</v>
      </c>
      <c r="W26" s="5" t="n">
        <f aca="false">SUMPRODUCT(--(MCS!$E$5:$E$14-Supuestos!$C$15-$S26-MCS!$G$5:$G$14&gt;=Supuestos!$C$16))</f>
        <v>10</v>
      </c>
      <c r="X26" s="6" t="str">
        <f aca="false">IF(V26=0,"ninguno",INDEX(MCS!$A$5:$A$14,V26))</f>
        <v>256QAM 5/6</v>
      </c>
      <c r="Y26" s="7" t="n">
        <f aca="false">IF(V26=0,0,INDEX(MCS!$F$5:$F$14,V26))</f>
        <v>192.592592592593</v>
      </c>
      <c r="Z26" s="7" t="n">
        <f aca="false">IF(W26=0,0,INDEX(MCS!$F$5:$F$14,W26))</f>
        <v>192.592592592593</v>
      </c>
      <c r="AA26" s="22" t="n">
        <f aca="false">IF(Y26&gt;0,Supuestos!$C$29*Supuestos!$C$30/(Supuestos!$C$17*Y26),0)</f>
        <v>0.00718934911242604</v>
      </c>
      <c r="AB26" s="22" t="n">
        <f aca="false">IF(Z26&gt;0,Supuestos!$C$29*Supuestos!$C$31/(Supuestos!$C$17*Z26),0)</f>
        <v>0.000898668639053254</v>
      </c>
    </row>
    <row r="27" customFormat="false" ht="15" hidden="false" customHeight="false" outlineLevel="0" collapsed="false">
      <c r="A27" s="13" t="n">
        <v>23</v>
      </c>
      <c r="B27" s="17" t="n">
        <v>285.4</v>
      </c>
      <c r="C27" s="18" t="n">
        <v>373.7</v>
      </c>
      <c r="D27" s="18" t="n">
        <v>211.4</v>
      </c>
      <c r="E27" s="19" t="n">
        <v>35</v>
      </c>
      <c r="F27" s="6" t="str">
        <f aca="false">IF(AND(B27&gt;=90,B27&lt;210),"S1",IF(AND(B27&gt;=210,B27&lt;330),"S2","S3"))</f>
        <v>S2</v>
      </c>
      <c r="G27" s="6" t="n">
        <f aca="false">IF(F27="S1",Supuestos!$C$26,IF(F27="S2",Supuestos!$C$27,Supuestos!$C$28))</f>
        <v>270</v>
      </c>
      <c r="H27" s="7" t="n">
        <f aca="false">MOD(B27-G27+180,360)-180</f>
        <v>15.4</v>
      </c>
      <c r="I27" s="7" t="n">
        <f aca="false">Supuestos!$C$7-(D27-Supuestos!$C$8)-Supuestos!$C$9</f>
        <v>18.6</v>
      </c>
      <c r="J27" s="7" t="n">
        <f aca="false">SQRT(C27^2+I27^2)</f>
        <v>374.162598344623</v>
      </c>
      <c r="K27" s="20" t="n">
        <f aca="false">DEGREES(ATAN2(C27,I27))</f>
        <v>2.84940535644023</v>
      </c>
      <c r="L27" s="20" t="n">
        <f aca="false">K27-(Supuestos!$C$21+Supuestos!$C$22)</f>
        <v>-1.15059464355977</v>
      </c>
      <c r="M27" s="7" t="n">
        <f aca="false">MIN(6*(2*H27/Supuestos!$C$20)^2,Supuestos!$C$24)</f>
        <v>0.303257499067611</v>
      </c>
      <c r="N27" s="21" t="n">
        <f aca="false">PI()*Supuestos!$C$23/Supuestos!$C$6*SIN(RADIANS(L27))</f>
        <v>-0.447913088089108</v>
      </c>
      <c r="O27" s="7" t="n">
        <f aca="false">IF(ABS(N27)&lt;0.000000001,0,MIN(-20*LOG10(MAX(ABS(SIN(N27)/N27),0.000001)),Supuestos!$C$25))</f>
        <v>0.292403499144636</v>
      </c>
      <c r="P27" s="7" t="n">
        <f aca="false">Supuestos!$C$19-M27-O27</f>
        <v>14.9043390017878</v>
      </c>
      <c r="Q27" s="7" t="n">
        <f aca="false">32.44+20*LOG10(J27/1000)+20*LOG10(Supuestos!$C$5*1000)</f>
        <v>99.1697673279984</v>
      </c>
      <c r="R27" s="7" t="n">
        <f aca="false">IF(E27&lt;=0,0,IF(E27&lt;=14,0.45*Supuestos!$C$5^0.284*E27,1.33*Supuestos!$C$5^0.284*MIN(E27,400)^0.588))</f>
        <v>17.7246309437494</v>
      </c>
      <c r="S27" s="7" t="n">
        <f aca="false">Q27+R27+Supuestos!$C$12+Supuestos!$C$13+Supuestos!$C$11-P27-Supuestos!$C$10</f>
        <v>80.79005926996</v>
      </c>
      <c r="T27" s="7" t="n">
        <f aca="false">MCS!$E$5-S27-MCS!$G$5</f>
        <v>40.20994073004</v>
      </c>
      <c r="U27" s="7" t="n">
        <f aca="false">T27-Supuestos!$C$15</f>
        <v>37.20994073004</v>
      </c>
      <c r="V27" s="5" t="n">
        <f aca="false">SUMPRODUCT(--(MCS!$E$5:$E$14-$S27-MCS!$G$5:$G$14&gt;=Supuestos!$C$16))</f>
        <v>8</v>
      </c>
      <c r="W27" s="5" t="n">
        <f aca="false">SUMPRODUCT(--(MCS!$E$5:$E$14-Supuestos!$C$15-$S27-MCS!$G$5:$G$14&gt;=Supuestos!$C$16))</f>
        <v>8</v>
      </c>
      <c r="X27" s="6" t="str">
        <f aca="false">IF(V27=0,"ninguno",INDEX(MCS!$A$5:$A$14,V27))</f>
        <v>64QAM 5/6</v>
      </c>
      <c r="Y27" s="7" t="n">
        <f aca="false">IF(V27=0,0,INDEX(MCS!$F$5:$F$14,V27))</f>
        <v>144.444444444444</v>
      </c>
      <c r="Z27" s="7" t="n">
        <f aca="false">IF(W27=0,0,INDEX(MCS!$F$5:$F$14,W27))</f>
        <v>144.444444444444</v>
      </c>
      <c r="AA27" s="22" t="n">
        <f aca="false">IF(Y27&gt;0,Supuestos!$C$29*Supuestos!$C$30/(Supuestos!$C$17*Y27),0)</f>
        <v>0.00958579881656805</v>
      </c>
      <c r="AB27" s="22" t="n">
        <f aca="false">IF(Z27&gt;0,Supuestos!$C$29*Supuestos!$C$31/(Supuestos!$C$17*Z27),0)</f>
        <v>0.00119822485207101</v>
      </c>
    </row>
    <row r="28" customFormat="false" ht="15" hidden="false" customHeight="false" outlineLevel="0" collapsed="false">
      <c r="A28" s="13" t="n">
        <v>24</v>
      </c>
      <c r="B28" s="17" t="n">
        <v>279.4</v>
      </c>
      <c r="C28" s="18" t="n">
        <v>393.8</v>
      </c>
      <c r="D28" s="18" t="n">
        <v>209.2</v>
      </c>
      <c r="E28" s="19" t="n">
        <v>75</v>
      </c>
      <c r="F28" s="6" t="str">
        <f aca="false">IF(AND(B28&gt;=90,B28&lt;210),"S1",IF(AND(B28&gt;=210,B28&lt;330),"S2","S3"))</f>
        <v>S2</v>
      </c>
      <c r="G28" s="6" t="n">
        <f aca="false">IF(F28="S1",Supuestos!$C$26,IF(F28="S2",Supuestos!$C$27,Supuestos!$C$28))</f>
        <v>270</v>
      </c>
      <c r="H28" s="7" t="n">
        <f aca="false">MOD(B28-G28+180,360)-180</f>
        <v>9.39999999999998</v>
      </c>
      <c r="I28" s="7" t="n">
        <f aca="false">Supuestos!$C$7-(D28-Supuestos!$C$8)-Supuestos!$C$9</f>
        <v>20.8</v>
      </c>
      <c r="J28" s="7" t="n">
        <f aca="false">SQRT(C28^2+I28^2)</f>
        <v>394.348931785037</v>
      </c>
      <c r="K28" s="20" t="n">
        <f aca="false">DEGREES(ATAN2(C28,I28))</f>
        <v>3.02347843986072</v>
      </c>
      <c r="L28" s="20" t="n">
        <f aca="false">K28-(Supuestos!$C$21+Supuestos!$C$22)</f>
        <v>-0.976521560139277</v>
      </c>
      <c r="M28" s="7" t="n">
        <f aca="false">MIN(6*(2*H28/Supuestos!$C$20)^2,Supuestos!$C$24)</f>
        <v>0.112986307208695</v>
      </c>
      <c r="N28" s="21" t="n">
        <f aca="false">PI()*Supuestos!$C$23/Supuestos!$C$6*SIN(RADIANS(L28))</f>
        <v>-0.380155611505761</v>
      </c>
      <c r="O28" s="7" t="n">
        <f aca="false">IF(ABS(N28)&lt;0.000000001,0,MIN(-20*LOG10(MAX(ABS(SIN(N28)/N28),0.000001)),Supuestos!$C$25))</f>
        <v>0.210228830792622</v>
      </c>
      <c r="P28" s="7" t="n">
        <f aca="false">Supuestos!$C$19-M28-O28</f>
        <v>15.1767848619987</v>
      </c>
      <c r="Q28" s="7" t="n">
        <f aca="false">32.44+20*LOG10(J28/1000)+20*LOG10(Supuestos!$C$5*1000)</f>
        <v>99.6261732461369</v>
      </c>
      <c r="R28" s="7" t="n">
        <f aca="false">IF(E28&lt;=0,0,IF(E28&lt;=14,0.45*Supuestos!$C$5^0.284*E28,1.33*Supuestos!$C$5^0.284*MIN(E28,400)^0.588))</f>
        <v>27.7460531591493</v>
      </c>
      <c r="S28" s="7" t="n">
        <f aca="false">Q28+R28+Supuestos!$C$12+Supuestos!$C$13+Supuestos!$C$11-P28-Supuestos!$C$10</f>
        <v>90.9954415432875</v>
      </c>
      <c r="T28" s="7" t="n">
        <f aca="false">MCS!$E$5-S28-MCS!$G$5</f>
        <v>30.0045584567125</v>
      </c>
      <c r="U28" s="7" t="n">
        <f aca="false">T28-Supuestos!$C$15</f>
        <v>27.0045584567125</v>
      </c>
      <c r="V28" s="5" t="n">
        <f aca="false">SUMPRODUCT(--(MCS!$E$5:$E$14-$S28-MCS!$G$5:$G$14&gt;=Supuestos!$C$16))</f>
        <v>7</v>
      </c>
      <c r="W28" s="5" t="n">
        <f aca="false">SUMPRODUCT(--(MCS!$E$5:$E$14-Supuestos!$C$15-$S28-MCS!$G$5:$G$14&gt;=Supuestos!$C$16))</f>
        <v>6</v>
      </c>
      <c r="X28" s="6" t="str">
        <f aca="false">IF(V28=0,"ninguno",INDEX(MCS!$A$5:$A$14,V28))</f>
        <v>64QAM 3/4</v>
      </c>
      <c r="Y28" s="7" t="n">
        <f aca="false">IF(V28=0,0,INDEX(MCS!$F$5:$F$14,V28))</f>
        <v>130</v>
      </c>
      <c r="Z28" s="7" t="n">
        <f aca="false">IF(W28=0,0,INDEX(MCS!$F$5:$F$14,W28))</f>
        <v>115.555555555556</v>
      </c>
      <c r="AA28" s="22" t="n">
        <f aca="false">IF(Y28&gt;0,Supuestos!$C$29*Supuestos!$C$30/(Supuestos!$C$17*Y28),0)</f>
        <v>0.0106508875739645</v>
      </c>
      <c r="AB28" s="22" t="n">
        <f aca="false">IF(Z28&gt;0,Supuestos!$C$29*Supuestos!$C$31/(Supuestos!$C$17*Z28),0)</f>
        <v>0.00149778106508876</v>
      </c>
    </row>
    <row r="29" customFormat="false" ht="15" hidden="false" customHeight="false" outlineLevel="0" collapsed="false">
      <c r="A29" s="13" t="n">
        <v>25</v>
      </c>
      <c r="B29" s="17" t="n">
        <v>281.3</v>
      </c>
      <c r="C29" s="18" t="n">
        <v>420.5</v>
      </c>
      <c r="D29" s="18" t="n">
        <v>209.3</v>
      </c>
      <c r="E29" s="19" t="n">
        <v>14</v>
      </c>
      <c r="F29" s="6" t="str">
        <f aca="false">IF(AND(B29&gt;=90,B29&lt;210),"S1",IF(AND(B29&gt;=210,B29&lt;330),"S2","S3"))</f>
        <v>S2</v>
      </c>
      <c r="G29" s="6" t="n">
        <f aca="false">IF(F29="S1",Supuestos!$C$26,IF(F29="S2",Supuestos!$C$27,Supuestos!$C$28))</f>
        <v>270</v>
      </c>
      <c r="H29" s="7" t="n">
        <f aca="false">MOD(B29-G29+180,360)-180</f>
        <v>11.3</v>
      </c>
      <c r="I29" s="7" t="n">
        <f aca="false">Supuestos!$C$7-(D29-Supuestos!$C$8)-Supuestos!$C$9</f>
        <v>20.7</v>
      </c>
      <c r="J29" s="7" t="n">
        <f aca="false">SQRT(C29^2+I29^2)</f>
        <v>421.009192298696</v>
      </c>
      <c r="K29" s="20" t="n">
        <f aca="false">DEGREES(ATAN2(C29,I29))</f>
        <v>2.81823066254736</v>
      </c>
      <c r="L29" s="20" t="n">
        <f aca="false">K29-(Supuestos!$C$21+Supuestos!$C$22)</f>
        <v>-1.18176933745264</v>
      </c>
      <c r="M29" s="7" t="n">
        <f aca="false">MIN(6*(2*H29/Supuestos!$C$20)^2,Supuestos!$C$24)</f>
        <v>0.163277745218179</v>
      </c>
      <c r="N29" s="21" t="n">
        <f aca="false">PI()*Supuestos!$C$23/Supuestos!$C$6*SIN(RADIANS(L29))</f>
        <v>-0.460047334864831</v>
      </c>
      <c r="O29" s="7" t="n">
        <f aca="false">IF(ABS(N29)&lt;0.000000001,0,MIN(-20*LOG10(MAX(ABS(SIN(N29)/N29),0.000001)),Supuestos!$C$25))</f>
        <v>0.30857641778406</v>
      </c>
      <c r="P29" s="7" t="n">
        <f aca="false">Supuestos!$C$19-M29-O29</f>
        <v>15.0281458369978</v>
      </c>
      <c r="Q29" s="7" t="n">
        <f aca="false">32.44+20*LOG10(J29/1000)+20*LOG10(Supuestos!$C$5*1000)</f>
        <v>100.194391437427</v>
      </c>
      <c r="R29" s="7" t="n">
        <f aca="false">IF(E29&lt;=0,0,IF(E29&lt;=14,0.45*Supuestos!$C$5^0.284*E29,1.33*Supuestos!$C$5^0.284*MIN(E29,400)^0.588))</f>
        <v>10.3789662475387</v>
      </c>
      <c r="S29" s="7" t="n">
        <f aca="false">Q29+R29+Supuestos!$C$12+Supuestos!$C$13+Supuestos!$C$11-P29-Supuestos!$C$10</f>
        <v>74.3452118479675</v>
      </c>
      <c r="T29" s="7" t="n">
        <f aca="false">MCS!$E$5-S29-MCS!$G$5</f>
        <v>46.6547881520325</v>
      </c>
      <c r="U29" s="7" t="n">
        <f aca="false">T29-Supuestos!$C$15</f>
        <v>43.6547881520325</v>
      </c>
      <c r="V29" s="5" t="n">
        <f aca="false">SUMPRODUCT(--(MCS!$E$5:$E$14-$S29-MCS!$G$5:$G$14&gt;=Supuestos!$C$16))</f>
        <v>9</v>
      </c>
      <c r="W29" s="5" t="n">
        <f aca="false">SUMPRODUCT(--(MCS!$E$5:$E$14-Supuestos!$C$15-$S29-MCS!$G$5:$G$14&gt;=Supuestos!$C$16))</f>
        <v>9</v>
      </c>
      <c r="X29" s="6" t="str">
        <f aca="false">IF(V29=0,"ninguno",INDEX(MCS!$A$5:$A$14,V29))</f>
        <v>256QAM 3/4</v>
      </c>
      <c r="Y29" s="7" t="n">
        <f aca="false">IF(V29=0,0,INDEX(MCS!$F$5:$F$14,V29))</f>
        <v>173.333333333333</v>
      </c>
      <c r="Z29" s="7" t="n">
        <f aca="false">IF(W29=0,0,INDEX(MCS!$F$5:$F$14,W29))</f>
        <v>173.333333333333</v>
      </c>
      <c r="AA29" s="22" t="n">
        <f aca="false">IF(Y29&gt;0,Supuestos!$C$29*Supuestos!$C$30/(Supuestos!$C$17*Y29),0)</f>
        <v>0.00798816568047337</v>
      </c>
      <c r="AB29" s="22" t="n">
        <f aca="false">IF(Z29&gt;0,Supuestos!$C$29*Supuestos!$C$31/(Supuestos!$C$17*Z29),0)</f>
        <v>0.000998520710059172</v>
      </c>
    </row>
    <row r="30" customFormat="false" ht="15" hidden="false" customHeight="false" outlineLevel="0" collapsed="false">
      <c r="A30" s="13" t="n">
        <v>26</v>
      </c>
      <c r="B30" s="17" t="n">
        <v>276.2</v>
      </c>
      <c r="C30" s="18" t="n">
        <v>398.1</v>
      </c>
      <c r="D30" s="18" t="n">
        <v>210.5</v>
      </c>
      <c r="E30" s="19" t="n">
        <v>147</v>
      </c>
      <c r="F30" s="6" t="str">
        <f aca="false">IF(AND(B30&gt;=90,B30&lt;210),"S1",IF(AND(B30&gt;=210,B30&lt;330),"S2","S3"))</f>
        <v>S2</v>
      </c>
      <c r="G30" s="6" t="n">
        <f aca="false">IF(F30="S1",Supuestos!$C$26,IF(F30="S2",Supuestos!$C$27,Supuestos!$C$28))</f>
        <v>270</v>
      </c>
      <c r="H30" s="7" t="n">
        <f aca="false">MOD(B30-G30+180,360)-180</f>
        <v>6.19999999999999</v>
      </c>
      <c r="I30" s="7" t="n">
        <f aca="false">Supuestos!$C$7-(D30-Supuestos!$C$8)-Supuestos!$C$9</f>
        <v>19.5</v>
      </c>
      <c r="J30" s="7" t="n">
        <f aca="false">SQRT(C30^2+I30^2)</f>
        <v>398.577294887704</v>
      </c>
      <c r="K30" s="20" t="n">
        <f aca="false">DEGREES(ATAN2(C30,I30))</f>
        <v>2.80425880567326</v>
      </c>
      <c r="L30" s="20" t="n">
        <f aca="false">K30-(Supuestos!$C$21+Supuestos!$C$22)</f>
        <v>-1.19574119432674</v>
      </c>
      <c r="M30" s="7" t="n">
        <f aca="false">MIN(6*(2*H30/Supuestos!$C$20)^2,Supuestos!$C$24)</f>
        <v>0.0491533912302199</v>
      </c>
      <c r="N30" s="21" t="n">
        <f aca="false">PI()*Supuestos!$C$23/Supuestos!$C$6*SIN(RADIANS(L30))</f>
        <v>-0.465485610814653</v>
      </c>
      <c r="O30" s="7" t="n">
        <f aca="false">IF(ABS(N30)&lt;0.000000001,0,MIN(-20*LOG10(MAX(ABS(SIN(N30)/N30),0.000001)),Supuestos!$C$25))</f>
        <v>0.315969070601564</v>
      </c>
      <c r="P30" s="7" t="n">
        <f aca="false">Supuestos!$C$19-M30-O30</f>
        <v>15.1348775381682</v>
      </c>
      <c r="Q30" s="7" t="n">
        <f aca="false">32.44+20*LOG10(J30/1000)+20*LOG10(Supuestos!$C$5*1000)</f>
        <v>99.7188109775228</v>
      </c>
      <c r="R30" s="7" t="n">
        <f aca="false">IF(E30&lt;=0,0,IF(E30&lt;=14,0.45*Supuestos!$C$5^0.284*E30,1.33*Supuestos!$C$5^0.284*MIN(E30,400)^0.588))</f>
        <v>41.2142863305049</v>
      </c>
      <c r="S30" s="7" t="n">
        <f aca="false">Q30+R30+Supuestos!$C$12+Supuestos!$C$13+Supuestos!$C$11-P30-Supuestos!$C$10</f>
        <v>104.59821976986</v>
      </c>
      <c r="T30" s="7" t="n">
        <f aca="false">MCS!$E$5-S30-MCS!$G$5</f>
        <v>16.4017802301405</v>
      </c>
      <c r="U30" s="7" t="n">
        <f aca="false">T30-Supuestos!$C$15</f>
        <v>13.4017802301405</v>
      </c>
      <c r="V30" s="5" t="n">
        <f aca="false">SUMPRODUCT(--(MCS!$E$5:$E$14-$S30-MCS!$G$5:$G$14&gt;=Supuestos!$C$16))</f>
        <v>4</v>
      </c>
      <c r="W30" s="5" t="n">
        <f aca="false">SUMPRODUCT(--(MCS!$E$5:$E$14-Supuestos!$C$15-$S30-MCS!$G$5:$G$14&gt;=Supuestos!$C$16))</f>
        <v>2</v>
      </c>
      <c r="X30" s="6" t="str">
        <f aca="false">IF(V30=0,"ninguno",INDEX(MCS!$A$5:$A$14,V30))</f>
        <v>16QAM 1/2</v>
      </c>
      <c r="Y30" s="7" t="n">
        <f aca="false">IF(V30=0,0,INDEX(MCS!$F$5:$F$14,V30))</f>
        <v>57.7777777777778</v>
      </c>
      <c r="Z30" s="7" t="n">
        <f aca="false">IF(W30=0,0,INDEX(MCS!$F$5:$F$14,W30))</f>
        <v>28.8888888888889</v>
      </c>
      <c r="AA30" s="22" t="n">
        <f aca="false">IF(Y30&gt;0,Supuestos!$C$29*Supuestos!$C$30/(Supuestos!$C$17*Y30),0)</f>
        <v>0.0239644970414201</v>
      </c>
      <c r="AB30" s="22" t="n">
        <f aca="false">IF(Z30&gt;0,Supuestos!$C$29*Supuestos!$C$31/(Supuestos!$C$17*Z30),0)</f>
        <v>0.00599112426035503</v>
      </c>
    </row>
    <row r="31" customFormat="false" ht="15" hidden="false" customHeight="false" outlineLevel="0" collapsed="false">
      <c r="A31" s="13" t="n">
        <v>27</v>
      </c>
      <c r="B31" s="17" t="n">
        <v>268</v>
      </c>
      <c r="C31" s="18" t="n">
        <v>375.5</v>
      </c>
      <c r="D31" s="18" t="n">
        <v>215.5</v>
      </c>
      <c r="E31" s="19" t="n">
        <v>122</v>
      </c>
      <c r="F31" s="6" t="str">
        <f aca="false">IF(AND(B31&gt;=90,B31&lt;210),"S1",IF(AND(B31&gt;=210,B31&lt;330),"S2","S3"))</f>
        <v>S2</v>
      </c>
      <c r="G31" s="6" t="n">
        <f aca="false">IF(F31="S1",Supuestos!$C$26,IF(F31="S2",Supuestos!$C$27,Supuestos!$C$28))</f>
        <v>270</v>
      </c>
      <c r="H31" s="7" t="n">
        <f aca="false">MOD(B31-G31+180,360)-180</f>
        <v>-2</v>
      </c>
      <c r="I31" s="7" t="n">
        <f aca="false">Supuestos!$C$7-(D31-Supuestos!$C$8)-Supuestos!$C$9</f>
        <v>14.5</v>
      </c>
      <c r="J31" s="7" t="n">
        <f aca="false">SQRT(C31^2+I31^2)</f>
        <v>375.779855766644</v>
      </c>
      <c r="K31" s="20" t="n">
        <f aca="false">DEGREES(ATAN2(C31,I31))</f>
        <v>2.21138810485917</v>
      </c>
      <c r="L31" s="20" t="n">
        <f aca="false">K31-(Supuestos!$C$21+Supuestos!$C$22)</f>
        <v>-1.78861189514083</v>
      </c>
      <c r="M31" s="7" t="n">
        <f aca="false">MIN(6*(2*H31/Supuestos!$C$20)^2,Supuestos!$C$24)</f>
        <v>0.00511481698545474</v>
      </c>
      <c r="N31" s="21" t="n">
        <f aca="false">PI()*Supuestos!$C$23/Supuestos!$C$6*SIN(RADIANS(L31))</f>
        <v>-0.696219479266741</v>
      </c>
      <c r="O31" s="7" t="n">
        <f aca="false">IF(ABS(N31)&lt;0.000000001,0,MIN(-20*LOG10(MAX(ABS(SIN(N31)/N31),0.000001)),Supuestos!$C$25))</f>
        <v>0.713406206807574</v>
      </c>
      <c r="P31" s="7" t="n">
        <f aca="false">Supuestos!$C$19-M31-O31</f>
        <v>14.781478976207</v>
      </c>
      <c r="Q31" s="7" t="n">
        <f aca="false">32.44+20*LOG10(J31/1000)+20*LOG10(Supuestos!$C$5*1000)</f>
        <v>99.2072297791049</v>
      </c>
      <c r="R31" s="7" t="n">
        <f aca="false">IF(E31&lt;=0,0,IF(E31&lt;=14,0.45*Supuestos!$C$5^0.284*E31,1.33*Supuestos!$C$5^0.284*MIN(E31,400)^0.588))</f>
        <v>36.9355671095512</v>
      </c>
      <c r="S31" s="7" t="n">
        <f aca="false">Q31+R31+Supuestos!$C$12+Supuestos!$C$13+Supuestos!$C$11-P31-Supuestos!$C$10</f>
        <v>100.161317912449</v>
      </c>
      <c r="T31" s="7" t="n">
        <f aca="false">MCS!$E$5-S31-MCS!$G$5</f>
        <v>20.8386820875509</v>
      </c>
      <c r="U31" s="7" t="n">
        <f aca="false">T31-Supuestos!$C$15</f>
        <v>17.8386820875509</v>
      </c>
      <c r="V31" s="5" t="n">
        <f aca="false">SUMPRODUCT(--(MCS!$E$5:$E$14-$S31-MCS!$G$5:$G$14&gt;=Supuestos!$C$16))</f>
        <v>5</v>
      </c>
      <c r="W31" s="5" t="n">
        <f aca="false">SUMPRODUCT(--(MCS!$E$5:$E$14-Supuestos!$C$15-$S31-MCS!$G$5:$G$14&gt;=Supuestos!$C$16))</f>
        <v>4</v>
      </c>
      <c r="X31" s="6" t="str">
        <f aca="false">IF(V31=0,"ninguno",INDEX(MCS!$A$5:$A$14,V31))</f>
        <v>16QAM 3/4</v>
      </c>
      <c r="Y31" s="7" t="n">
        <f aca="false">IF(V31=0,0,INDEX(MCS!$F$5:$F$14,V31))</f>
        <v>86.6666666666667</v>
      </c>
      <c r="Z31" s="7" t="n">
        <f aca="false">IF(W31=0,0,INDEX(MCS!$F$5:$F$14,W31))</f>
        <v>57.7777777777778</v>
      </c>
      <c r="AA31" s="22" t="n">
        <f aca="false">IF(Y31&gt;0,Supuestos!$C$29*Supuestos!$C$30/(Supuestos!$C$17*Y31),0)</f>
        <v>0.0159763313609467</v>
      </c>
      <c r="AB31" s="22" t="n">
        <f aca="false">IF(Z31&gt;0,Supuestos!$C$29*Supuestos!$C$31/(Supuestos!$C$17*Z31),0)</f>
        <v>0.00299556213017752</v>
      </c>
    </row>
    <row r="32" customFormat="false" ht="15" hidden="false" customHeight="false" outlineLevel="0" collapsed="false">
      <c r="A32" s="13" t="n">
        <v>28</v>
      </c>
      <c r="B32" s="17" t="n">
        <v>285.1</v>
      </c>
      <c r="C32" s="18" t="n">
        <v>280.8</v>
      </c>
      <c r="D32" s="18" t="n">
        <v>209.7</v>
      </c>
      <c r="E32" s="19" t="n">
        <v>10</v>
      </c>
      <c r="F32" s="6" t="str">
        <f aca="false">IF(AND(B32&gt;=90,B32&lt;210),"S1",IF(AND(B32&gt;=210,B32&lt;330),"S2","S3"))</f>
        <v>S2</v>
      </c>
      <c r="G32" s="6" t="n">
        <f aca="false">IF(F32="S1",Supuestos!$C$26,IF(F32="S2",Supuestos!$C$27,Supuestos!$C$28))</f>
        <v>270</v>
      </c>
      <c r="H32" s="7" t="n">
        <f aca="false">MOD(B32-G32+180,360)-180</f>
        <v>15.1</v>
      </c>
      <c r="I32" s="7" t="n">
        <f aca="false">Supuestos!$C$7-(D32-Supuestos!$C$8)-Supuestos!$C$9</f>
        <v>20.3</v>
      </c>
      <c r="J32" s="7" t="n">
        <f aca="false">SQRT(C32^2+I32^2)</f>
        <v>281.532822242807</v>
      </c>
      <c r="K32" s="20" t="n">
        <f aca="false">DEGREES(ATAN2(C32,I32))</f>
        <v>4.13491593277004</v>
      </c>
      <c r="L32" s="20" t="n">
        <f aca="false">K32-(Supuestos!$C$21+Supuestos!$C$22)</f>
        <v>0.134915932770038</v>
      </c>
      <c r="M32" s="7" t="n">
        <f aca="false">MIN(6*(2*H32/Supuestos!$C$20)^2,Supuestos!$C$24)</f>
        <v>0.291557355213385</v>
      </c>
      <c r="N32" s="21" t="n">
        <f aca="false">PI()*Supuestos!$C$23/Supuestos!$C$6*SIN(RADIANS(L32))</f>
        <v>0.0525246822890929</v>
      </c>
      <c r="O32" s="7" t="n">
        <f aca="false">IF(ABS(N32)&lt;0.000000001,0,MIN(-20*LOG10(MAX(ABS(SIN(N32)/N32),0.000001)),Supuestos!$C$25))</f>
        <v>0.00399420056097404</v>
      </c>
      <c r="P32" s="7" t="n">
        <f aca="false">Supuestos!$C$19-M32-O32</f>
        <v>15.2044484442256</v>
      </c>
      <c r="Q32" s="7" t="n">
        <f aca="false">32.44+20*LOG10(J32/1000)+20*LOG10(Supuestos!$C$5*1000)</f>
        <v>96.6991405504219</v>
      </c>
      <c r="R32" s="7" t="n">
        <f aca="false">IF(E32&lt;=0,0,IF(E32&lt;=14,0.45*Supuestos!$C$5^0.284*E32,1.33*Supuestos!$C$5^0.284*MIN(E32,400)^0.588))</f>
        <v>7.41354731967048</v>
      </c>
      <c r="S32" s="7" t="n">
        <f aca="false">Q32+R32+Supuestos!$C$12+Supuestos!$C$13+Supuestos!$C$11-P32-Supuestos!$C$10</f>
        <v>67.7082394258667</v>
      </c>
      <c r="T32" s="7" t="n">
        <f aca="false">MCS!$E$5-S32-MCS!$G$5</f>
        <v>53.2917605741333</v>
      </c>
      <c r="U32" s="7" t="n">
        <f aca="false">T32-Supuestos!$C$15</f>
        <v>50.2917605741333</v>
      </c>
      <c r="V32" s="5" t="n">
        <f aca="false">SUMPRODUCT(--(MCS!$E$5:$E$14-$S32-MCS!$G$5:$G$14&gt;=Supuestos!$C$16))</f>
        <v>10</v>
      </c>
      <c r="W32" s="5" t="n">
        <f aca="false">SUMPRODUCT(--(MCS!$E$5:$E$14-Supuestos!$C$15-$S32-MCS!$G$5:$G$14&gt;=Supuestos!$C$16))</f>
        <v>10</v>
      </c>
      <c r="X32" s="6" t="str">
        <f aca="false">IF(V32=0,"ninguno",INDEX(MCS!$A$5:$A$14,V32))</f>
        <v>256QAM 5/6</v>
      </c>
      <c r="Y32" s="7" t="n">
        <f aca="false">IF(V32=0,0,INDEX(MCS!$F$5:$F$14,V32))</f>
        <v>192.592592592593</v>
      </c>
      <c r="Z32" s="7" t="n">
        <f aca="false">IF(W32=0,0,INDEX(MCS!$F$5:$F$14,W32))</f>
        <v>192.592592592593</v>
      </c>
      <c r="AA32" s="22" t="n">
        <f aca="false">IF(Y32&gt;0,Supuestos!$C$29*Supuestos!$C$30/(Supuestos!$C$17*Y32),0)</f>
        <v>0.00718934911242604</v>
      </c>
      <c r="AB32" s="22" t="n">
        <f aca="false">IF(Z32&gt;0,Supuestos!$C$29*Supuestos!$C$31/(Supuestos!$C$17*Z32),0)</f>
        <v>0.000898668639053254</v>
      </c>
    </row>
    <row r="33" customFormat="false" ht="15" hidden="false" customHeight="false" outlineLevel="0" collapsed="false">
      <c r="A33" s="13" t="n">
        <v>29</v>
      </c>
      <c r="B33" s="17" t="n">
        <v>288.2</v>
      </c>
      <c r="C33" s="18" t="n">
        <v>302.5</v>
      </c>
      <c r="D33" s="18" t="n">
        <v>211.8</v>
      </c>
      <c r="E33" s="19" t="n">
        <v>66</v>
      </c>
      <c r="F33" s="6" t="str">
        <f aca="false">IF(AND(B33&gt;=90,B33&lt;210),"S1",IF(AND(B33&gt;=210,B33&lt;330),"S2","S3"))</f>
        <v>S2</v>
      </c>
      <c r="G33" s="6" t="n">
        <f aca="false">IF(F33="S1",Supuestos!$C$26,IF(F33="S2",Supuestos!$C$27,Supuestos!$C$28))</f>
        <v>270</v>
      </c>
      <c r="H33" s="7" t="n">
        <f aca="false">MOD(B33-G33+180,360)-180</f>
        <v>18.2</v>
      </c>
      <c r="I33" s="7" t="n">
        <f aca="false">Supuestos!$C$7-(D33-Supuestos!$C$8)-Supuestos!$C$9</f>
        <v>18.2</v>
      </c>
      <c r="J33" s="7" t="n">
        <f aca="false">SQRT(C33^2+I33^2)</f>
        <v>303.047009554623</v>
      </c>
      <c r="K33" s="20" t="n">
        <f aca="false">DEGREES(ATAN2(C33,I33))</f>
        <v>3.44306667483606</v>
      </c>
      <c r="L33" s="20" t="n">
        <f aca="false">K33-(Supuestos!$C$21+Supuestos!$C$22)</f>
        <v>-0.556933325163935</v>
      </c>
      <c r="M33" s="7" t="n">
        <f aca="false">MIN(6*(2*H33/Supuestos!$C$20)^2,Supuestos!$C$24)</f>
        <v>0.423557994565506</v>
      </c>
      <c r="N33" s="21" t="n">
        <f aca="false">PI()*Supuestos!$C$23/Supuestos!$C$6*SIN(RADIANS(L33))</f>
        <v>-0.21681881256699</v>
      </c>
      <c r="O33" s="7" t="n">
        <f aca="false">IF(ABS(N33)&lt;0.000000001,0,MIN(-20*LOG10(MAX(ABS(SIN(N33)/N33),0.000001)),Supuestos!$C$25))</f>
        <v>0.0681614824966514</v>
      </c>
      <c r="P33" s="7" t="n">
        <f aca="false">Supuestos!$C$19-M33-O33</f>
        <v>15.0082805229378</v>
      </c>
      <c r="Q33" s="7" t="n">
        <f aca="false">32.44+20*LOG10(J33/1000)+20*LOG10(Supuestos!$C$5*1000)</f>
        <v>97.3387599268886</v>
      </c>
      <c r="R33" s="7" t="n">
        <f aca="false">IF(E33&lt;=0,0,IF(E33&lt;=14,0.45*Supuestos!$C$5^0.284*E33,1.33*Supuestos!$C$5^0.284*MIN(E33,400)^0.588))</f>
        <v>25.7369468240964</v>
      </c>
      <c r="S33" s="7" t="n">
        <f aca="false">Q33+R33+Supuestos!$C$12+Supuestos!$C$13+Supuestos!$C$11-P33-Supuestos!$C$10</f>
        <v>86.8674262280471</v>
      </c>
      <c r="T33" s="7" t="n">
        <f aca="false">MCS!$E$5-S33-MCS!$G$5</f>
        <v>34.1325737719529</v>
      </c>
      <c r="U33" s="7" t="n">
        <f aca="false">T33-Supuestos!$C$15</f>
        <v>31.1325737719529</v>
      </c>
      <c r="V33" s="5" t="n">
        <f aca="false">SUMPRODUCT(--(MCS!$E$5:$E$14-$S33-MCS!$G$5:$G$14&gt;=Supuestos!$C$16))</f>
        <v>8</v>
      </c>
      <c r="W33" s="5" t="n">
        <f aca="false">SUMPRODUCT(--(MCS!$E$5:$E$14-Supuestos!$C$15-$S33-MCS!$G$5:$G$14&gt;=Supuestos!$C$16))</f>
        <v>7</v>
      </c>
      <c r="X33" s="6" t="str">
        <f aca="false">IF(V33=0,"ninguno",INDEX(MCS!$A$5:$A$14,V33))</f>
        <v>64QAM 5/6</v>
      </c>
      <c r="Y33" s="7" t="n">
        <f aca="false">IF(V33=0,0,INDEX(MCS!$F$5:$F$14,V33))</f>
        <v>144.444444444444</v>
      </c>
      <c r="Z33" s="7" t="n">
        <f aca="false">IF(W33=0,0,INDEX(MCS!$F$5:$F$14,W33))</f>
        <v>130</v>
      </c>
      <c r="AA33" s="22" t="n">
        <f aca="false">IF(Y33&gt;0,Supuestos!$C$29*Supuestos!$C$30/(Supuestos!$C$17*Y33),0)</f>
        <v>0.00958579881656805</v>
      </c>
      <c r="AB33" s="22" t="n">
        <f aca="false">IF(Z33&gt;0,Supuestos!$C$29*Supuestos!$C$31/(Supuestos!$C$17*Z33),0)</f>
        <v>0.00133136094674556</v>
      </c>
    </row>
    <row r="34" customFormat="false" ht="15" hidden="false" customHeight="false" outlineLevel="0" collapsed="false">
      <c r="A34" s="13" t="n">
        <v>30</v>
      </c>
      <c r="B34" s="17" t="n">
        <v>289.7</v>
      </c>
      <c r="C34" s="18" t="n">
        <v>327.5</v>
      </c>
      <c r="D34" s="18" t="n">
        <v>213.1</v>
      </c>
      <c r="E34" s="19" t="n">
        <v>86</v>
      </c>
      <c r="F34" s="6" t="str">
        <f aca="false">IF(AND(B34&gt;=90,B34&lt;210),"S1",IF(AND(B34&gt;=210,B34&lt;330),"S2","S3"))</f>
        <v>S2</v>
      </c>
      <c r="G34" s="6" t="n">
        <f aca="false">IF(F34="S1",Supuestos!$C$26,IF(F34="S2",Supuestos!$C$27,Supuestos!$C$28))</f>
        <v>270</v>
      </c>
      <c r="H34" s="7" t="n">
        <f aca="false">MOD(B34-G34+180,360)-180</f>
        <v>19.7</v>
      </c>
      <c r="I34" s="7" t="n">
        <f aca="false">Supuestos!$C$7-(D34-Supuestos!$C$8)-Supuestos!$C$9</f>
        <v>16.9</v>
      </c>
      <c r="J34" s="7" t="n">
        <f aca="false">SQRT(C34^2+I34^2)</f>
        <v>327.9357559035</v>
      </c>
      <c r="K34" s="20" t="n">
        <f aca="false">DEGREES(ATAN2(C34,I34))</f>
        <v>2.95401697171556</v>
      </c>
      <c r="L34" s="20" t="n">
        <f aca="false">K34-(Supuestos!$C$21+Supuestos!$C$22)</f>
        <v>-1.04598302828444</v>
      </c>
      <c r="M34" s="7" t="n">
        <f aca="false">MIN(6*(2*H34/Supuestos!$C$20)^2,Supuestos!$C$24)</f>
        <v>0.496252330971282</v>
      </c>
      <c r="N34" s="21" t="n">
        <f aca="false">PI()*Supuestos!$C$23/Supuestos!$C$6*SIN(RADIANS(L34))</f>
        <v>-0.407193755688304</v>
      </c>
      <c r="O34" s="7" t="n">
        <f aca="false">IF(ABS(N34)&lt;0.000000001,0,MIN(-20*LOG10(MAX(ABS(SIN(N34)/N34),0.000001)),Supuestos!$C$25))</f>
        <v>0.241370623035085</v>
      </c>
      <c r="P34" s="7" t="n">
        <f aca="false">Supuestos!$C$19-M34-O34</f>
        <v>14.7623770459936</v>
      </c>
      <c r="Q34" s="7" t="n">
        <f aca="false">32.44+20*LOG10(J34/1000)+20*LOG10(Supuestos!$C$5*1000)</f>
        <v>98.0243353071156</v>
      </c>
      <c r="R34" s="7" t="n">
        <f aca="false">IF(E34&lt;=0,0,IF(E34&lt;=14,0.45*Supuestos!$C$5^0.284*E34,1.33*Supuestos!$C$5^0.284*MIN(E34,400)^0.588))</f>
        <v>30.0711668593752</v>
      </c>
      <c r="S34" s="7" t="n">
        <f aca="false">Q34+R34+Supuestos!$C$12+Supuestos!$C$13+Supuestos!$C$11-P34-Supuestos!$C$10</f>
        <v>92.1331251204971</v>
      </c>
      <c r="T34" s="7" t="n">
        <f aca="false">MCS!$E$5-S34-MCS!$G$5</f>
        <v>28.8668748795029</v>
      </c>
      <c r="U34" s="7" t="n">
        <f aca="false">T34-Supuestos!$C$15</f>
        <v>25.8668748795029</v>
      </c>
      <c r="V34" s="5" t="n">
        <f aca="false">SUMPRODUCT(--(MCS!$E$5:$E$14-$S34-MCS!$G$5:$G$14&gt;=Supuestos!$C$16))</f>
        <v>6</v>
      </c>
      <c r="W34" s="5" t="n">
        <f aca="false">SUMPRODUCT(--(MCS!$E$5:$E$14-Supuestos!$C$15-$S34-MCS!$G$5:$G$14&gt;=Supuestos!$C$16))</f>
        <v>6</v>
      </c>
      <c r="X34" s="6" t="str">
        <f aca="false">IF(V34=0,"ninguno",INDEX(MCS!$A$5:$A$14,V34))</f>
        <v>64QAM 2/3</v>
      </c>
      <c r="Y34" s="7" t="n">
        <f aca="false">IF(V34=0,0,INDEX(MCS!$F$5:$F$14,V34))</f>
        <v>115.555555555556</v>
      </c>
      <c r="Z34" s="7" t="n">
        <f aca="false">IF(W34=0,0,INDEX(MCS!$F$5:$F$14,W34))</f>
        <v>115.555555555556</v>
      </c>
      <c r="AA34" s="22" t="n">
        <f aca="false">IF(Y34&gt;0,Supuestos!$C$29*Supuestos!$C$30/(Supuestos!$C$17*Y34),0)</f>
        <v>0.0119822485207101</v>
      </c>
      <c r="AB34" s="22" t="n">
        <f aca="false">IF(Z34&gt;0,Supuestos!$C$29*Supuestos!$C$31/(Supuestos!$C$17*Z34),0)</f>
        <v>0.00149778106508876</v>
      </c>
    </row>
    <row r="35" customFormat="false" ht="15" hidden="false" customHeight="false" outlineLevel="0" collapsed="false">
      <c r="A35" s="13" t="n">
        <v>31</v>
      </c>
      <c r="B35" s="17" t="n">
        <v>293.9</v>
      </c>
      <c r="C35" s="18" t="n">
        <v>337.3</v>
      </c>
      <c r="D35" s="18" t="n">
        <v>214.8</v>
      </c>
      <c r="E35" s="19" t="n">
        <v>45</v>
      </c>
      <c r="F35" s="6" t="str">
        <f aca="false">IF(AND(B35&gt;=90,B35&lt;210),"S1",IF(AND(B35&gt;=210,B35&lt;330),"S2","S3"))</f>
        <v>S2</v>
      </c>
      <c r="G35" s="6" t="n">
        <f aca="false">IF(F35="S1",Supuestos!$C$26,IF(F35="S2",Supuestos!$C$27,Supuestos!$C$28))</f>
        <v>270</v>
      </c>
      <c r="H35" s="7" t="n">
        <f aca="false">MOD(B35-G35+180,360)-180</f>
        <v>23.9</v>
      </c>
      <c r="I35" s="7" t="n">
        <f aca="false">Supuestos!$C$7-(D35-Supuestos!$C$8)-Supuestos!$C$9</f>
        <v>15.2</v>
      </c>
      <c r="J35" s="7" t="n">
        <f aca="false">SQRT(C35^2+I35^2)</f>
        <v>337.642310737265</v>
      </c>
      <c r="K35" s="20" t="n">
        <f aca="false">DEGREES(ATAN2(C35,I35))</f>
        <v>2.58021655681763</v>
      </c>
      <c r="L35" s="20" t="n">
        <f aca="false">K35-(Supuestos!$C$21+Supuestos!$C$22)</f>
        <v>-1.41978344318237</v>
      </c>
      <c r="M35" s="7" t="n">
        <f aca="false">MIN(6*(2*H35/Supuestos!$C$20)^2,Supuestos!$C$24)</f>
        <v>0.730408652565399</v>
      </c>
      <c r="N35" s="21" t="n">
        <f aca="false">PI()*Supuestos!$C$23/Supuestos!$C$6*SIN(RADIANS(L35))</f>
        <v>-0.552685735287732</v>
      </c>
      <c r="O35" s="7" t="n">
        <f aca="false">IF(ABS(N35)&lt;0.000000001,0,MIN(-20*LOG10(MAX(ABS(SIN(N35)/N35),0.000001)),Supuestos!$C$25))</f>
        <v>0.446792730879322</v>
      </c>
      <c r="P35" s="7" t="n">
        <f aca="false">Supuestos!$C$19-M35-O35</f>
        <v>14.3227986165553</v>
      </c>
      <c r="Q35" s="7" t="n">
        <f aca="false">32.44+20*LOG10(J35/1000)+20*LOG10(Supuestos!$C$5*1000)</f>
        <v>98.2776971474131</v>
      </c>
      <c r="R35" s="7" t="n">
        <f aca="false">IF(E35&lt;=0,0,IF(E35&lt;=14,0.45*Supuestos!$C$5^0.284*E35,1.33*Supuestos!$C$5^0.284*MIN(E35,400)^0.588))</f>
        <v>20.5472710150655</v>
      </c>
      <c r="S35" s="7" t="n">
        <f aca="false">Q35+R35+Supuestos!$C$12+Supuestos!$C$13+Supuestos!$C$11-P35-Supuestos!$C$10</f>
        <v>83.3021695459233</v>
      </c>
      <c r="T35" s="7" t="n">
        <f aca="false">MCS!$E$5-S35-MCS!$G$5</f>
        <v>37.6978304540767</v>
      </c>
      <c r="U35" s="7" t="n">
        <f aca="false">T35-Supuestos!$C$15</f>
        <v>34.6978304540767</v>
      </c>
      <c r="V35" s="5" t="n">
        <f aca="false">SUMPRODUCT(--(MCS!$E$5:$E$14-$S35-MCS!$G$5:$G$14&gt;=Supuestos!$C$16))</f>
        <v>8</v>
      </c>
      <c r="W35" s="5" t="n">
        <f aca="false">SUMPRODUCT(--(MCS!$E$5:$E$14-Supuestos!$C$15-$S35-MCS!$G$5:$G$14&gt;=Supuestos!$C$16))</f>
        <v>8</v>
      </c>
      <c r="X35" s="6" t="str">
        <f aca="false">IF(V35=0,"ninguno",INDEX(MCS!$A$5:$A$14,V35))</f>
        <v>64QAM 5/6</v>
      </c>
      <c r="Y35" s="7" t="n">
        <f aca="false">IF(V35=0,0,INDEX(MCS!$F$5:$F$14,V35))</f>
        <v>144.444444444444</v>
      </c>
      <c r="Z35" s="7" t="n">
        <f aca="false">IF(W35=0,0,INDEX(MCS!$F$5:$F$14,W35))</f>
        <v>144.444444444444</v>
      </c>
      <c r="AA35" s="22" t="n">
        <f aca="false">IF(Y35&gt;0,Supuestos!$C$29*Supuestos!$C$30/(Supuestos!$C$17*Y35),0)</f>
        <v>0.00958579881656805</v>
      </c>
      <c r="AB35" s="22" t="n">
        <f aca="false">IF(Z35&gt;0,Supuestos!$C$29*Supuestos!$C$31/(Supuestos!$C$17*Z35),0)</f>
        <v>0.00119822485207101</v>
      </c>
    </row>
    <row r="36" customFormat="false" ht="15" hidden="false" customHeight="false" outlineLevel="0" collapsed="false">
      <c r="A36" s="13" t="n">
        <v>32</v>
      </c>
      <c r="B36" s="17" t="n">
        <v>293.5</v>
      </c>
      <c r="C36" s="18" t="n">
        <v>306.6</v>
      </c>
      <c r="D36" s="18" t="n">
        <v>213.9</v>
      </c>
      <c r="E36" s="19" t="n">
        <v>64</v>
      </c>
      <c r="F36" s="6" t="str">
        <f aca="false">IF(AND(B36&gt;=90,B36&lt;210),"S1",IF(AND(B36&gt;=210,B36&lt;330),"S2","S3"))</f>
        <v>S2</v>
      </c>
      <c r="G36" s="6" t="n">
        <f aca="false">IF(F36="S1",Supuestos!$C$26,IF(F36="S2",Supuestos!$C$27,Supuestos!$C$28))</f>
        <v>270</v>
      </c>
      <c r="H36" s="7" t="n">
        <f aca="false">MOD(B36-G36+180,360)-180</f>
        <v>23.5</v>
      </c>
      <c r="I36" s="7" t="n">
        <f aca="false">Supuestos!$C$7-(D36-Supuestos!$C$8)-Supuestos!$C$9</f>
        <v>16.1</v>
      </c>
      <c r="J36" s="7" t="n">
        <f aca="false">SQRT(C36^2+I36^2)</f>
        <v>307.022425891009</v>
      </c>
      <c r="K36" s="20" t="n">
        <f aca="false">DEGREES(ATAN2(C36,I36))</f>
        <v>3.00592162290846</v>
      </c>
      <c r="L36" s="20" t="n">
        <f aca="false">K36-(Supuestos!$C$21+Supuestos!$C$22)</f>
        <v>-0.994078377091536</v>
      </c>
      <c r="M36" s="7" t="n">
        <f aca="false">MIN(6*(2*H36/Supuestos!$C$20)^2,Supuestos!$C$24)</f>
        <v>0.706164420054345</v>
      </c>
      <c r="N36" s="21" t="n">
        <f aca="false">PI()*Supuestos!$C$23/Supuestos!$C$6*SIN(RADIANS(L36))</f>
        <v>-0.386989724500218</v>
      </c>
      <c r="O36" s="7" t="n">
        <f aca="false">IF(ABS(N36)&lt;0.000000001,0,MIN(-20*LOG10(MAX(ABS(SIN(N36)/N36),0.000001)),Supuestos!$C$25))</f>
        <v>0.217894008635502</v>
      </c>
      <c r="P36" s="7" t="n">
        <f aca="false">Supuestos!$C$19-M36-O36</f>
        <v>14.5759415713102</v>
      </c>
      <c r="Q36" s="7" t="n">
        <f aca="false">32.44+20*LOG10(J36/1000)+20*LOG10(Supuestos!$C$5*1000)</f>
        <v>97.4519618488812</v>
      </c>
      <c r="R36" s="7" t="n">
        <f aca="false">IF(E36&lt;=0,0,IF(E36&lt;=14,0.45*Supuestos!$C$5^0.284*E36,1.33*Supuestos!$C$5^0.284*MIN(E36,400)^0.588))</f>
        <v>25.2754569490228</v>
      </c>
      <c r="S36" s="7" t="n">
        <f aca="false">Q36+R36+Supuestos!$C$12+Supuestos!$C$13+Supuestos!$C$11-P36-Supuestos!$C$10</f>
        <v>86.9514772265939</v>
      </c>
      <c r="T36" s="7" t="n">
        <f aca="false">MCS!$E$5-S36-MCS!$G$5</f>
        <v>34.0485227734061</v>
      </c>
      <c r="U36" s="7" t="n">
        <f aca="false">T36-Supuestos!$C$15</f>
        <v>31.0485227734061</v>
      </c>
      <c r="V36" s="5" t="n">
        <f aca="false">SUMPRODUCT(--(MCS!$E$5:$E$14-$S36-MCS!$G$5:$G$14&gt;=Supuestos!$C$16))</f>
        <v>8</v>
      </c>
      <c r="W36" s="5" t="n">
        <f aca="false">SUMPRODUCT(--(MCS!$E$5:$E$14-Supuestos!$C$15-$S36-MCS!$G$5:$G$14&gt;=Supuestos!$C$16))</f>
        <v>7</v>
      </c>
      <c r="X36" s="6" t="str">
        <f aca="false">IF(V36=0,"ninguno",INDEX(MCS!$A$5:$A$14,V36))</f>
        <v>64QAM 5/6</v>
      </c>
      <c r="Y36" s="7" t="n">
        <f aca="false">IF(V36=0,0,INDEX(MCS!$F$5:$F$14,V36))</f>
        <v>144.444444444444</v>
      </c>
      <c r="Z36" s="7" t="n">
        <f aca="false">IF(W36=0,0,INDEX(MCS!$F$5:$F$14,W36))</f>
        <v>130</v>
      </c>
      <c r="AA36" s="22" t="n">
        <f aca="false">IF(Y36&gt;0,Supuestos!$C$29*Supuestos!$C$30/(Supuestos!$C$17*Y36),0)</f>
        <v>0.00958579881656805</v>
      </c>
      <c r="AB36" s="22" t="n">
        <f aca="false">IF(Z36&gt;0,Supuestos!$C$29*Supuestos!$C$31/(Supuestos!$C$17*Z36),0)</f>
        <v>0.00133136094674556</v>
      </c>
    </row>
    <row r="37" customFormat="false" ht="15" hidden="false" customHeight="false" outlineLevel="0" collapsed="false">
      <c r="A37" s="13" t="n">
        <v>33</v>
      </c>
      <c r="B37" s="17" t="n">
        <v>294</v>
      </c>
      <c r="C37" s="18" t="n">
        <v>266.8</v>
      </c>
      <c r="D37" s="18" t="n">
        <v>213.2</v>
      </c>
      <c r="E37" s="19" t="n">
        <v>56</v>
      </c>
      <c r="F37" s="6" t="str">
        <f aca="false">IF(AND(B37&gt;=90,B37&lt;210),"S1",IF(AND(B37&gt;=210,B37&lt;330),"S2","S3"))</f>
        <v>S2</v>
      </c>
      <c r="G37" s="6" t="n">
        <f aca="false">IF(F37="S1",Supuestos!$C$26,IF(F37="S2",Supuestos!$C$27,Supuestos!$C$28))</f>
        <v>270</v>
      </c>
      <c r="H37" s="7" t="n">
        <f aca="false">MOD(B37-G37+180,360)-180</f>
        <v>24</v>
      </c>
      <c r="I37" s="7" t="n">
        <f aca="false">Supuestos!$C$7-(D37-Supuestos!$C$8)-Supuestos!$C$9</f>
        <v>16.8</v>
      </c>
      <c r="J37" s="7" t="n">
        <f aca="false">SQRT(C37^2+I37^2)</f>
        <v>267.328412257283</v>
      </c>
      <c r="K37" s="20" t="n">
        <f aca="false">DEGREES(ATAN2(C37,I37))</f>
        <v>3.60307311652881</v>
      </c>
      <c r="L37" s="20" t="n">
        <f aca="false">K37-(Supuestos!$C$21+Supuestos!$C$22)</f>
        <v>-0.396926883471187</v>
      </c>
      <c r="M37" s="7" t="n">
        <f aca="false">MIN(6*(2*H37/Supuestos!$C$20)^2,Supuestos!$C$24)</f>
        <v>0.736533645905483</v>
      </c>
      <c r="N37" s="21" t="n">
        <f aca="false">PI()*Supuestos!$C$23/Supuestos!$C$6*SIN(RADIANS(L37))</f>
        <v>-0.154528160778027</v>
      </c>
      <c r="O37" s="7" t="n">
        <f aca="false">IF(ABS(N37)&lt;0.000000001,0,MIN(-20*LOG10(MAX(ABS(SIN(N37)/N37),0.000001)),Supuestos!$C$25))</f>
        <v>0.0345958812798703</v>
      </c>
      <c r="P37" s="7" t="n">
        <f aca="false">Supuestos!$C$19-M37-O37</f>
        <v>14.7288704728146</v>
      </c>
      <c r="Q37" s="7" t="n">
        <f aca="false">32.44+20*LOG10(J37/1000)+20*LOG10(Supuestos!$C$5*1000)</f>
        <v>96.2494622510891</v>
      </c>
      <c r="R37" s="7" t="n">
        <f aca="false">IF(E37&lt;=0,0,IF(E37&lt;=14,0.45*Supuestos!$C$5^0.284*E37,1.33*Supuestos!$C$5^0.284*MIN(E37,400)^0.588))</f>
        <v>23.3668274205015</v>
      </c>
      <c r="S37" s="7" t="n">
        <f aca="false">Q37+R37+Supuestos!$C$12+Supuestos!$C$13+Supuestos!$C$11-P37-Supuestos!$C$10</f>
        <v>83.6874191987759</v>
      </c>
      <c r="T37" s="7" t="n">
        <f aca="false">MCS!$E$5-S37-MCS!$G$5</f>
        <v>37.3125808012241</v>
      </c>
      <c r="U37" s="7" t="n">
        <f aca="false">T37-Supuestos!$C$15</f>
        <v>34.3125808012241</v>
      </c>
      <c r="V37" s="5" t="n">
        <f aca="false">SUMPRODUCT(--(MCS!$E$5:$E$14-$S37-MCS!$G$5:$G$14&gt;=Supuestos!$C$16))</f>
        <v>8</v>
      </c>
      <c r="W37" s="5" t="n">
        <f aca="false">SUMPRODUCT(--(MCS!$E$5:$E$14-Supuestos!$C$15-$S37-MCS!$G$5:$G$14&gt;=Supuestos!$C$16))</f>
        <v>8</v>
      </c>
      <c r="X37" s="6" t="str">
        <f aca="false">IF(V37=0,"ninguno",INDEX(MCS!$A$5:$A$14,V37))</f>
        <v>64QAM 5/6</v>
      </c>
      <c r="Y37" s="7" t="n">
        <f aca="false">IF(V37=0,0,INDEX(MCS!$F$5:$F$14,V37))</f>
        <v>144.444444444444</v>
      </c>
      <c r="Z37" s="7" t="n">
        <f aca="false">IF(W37=0,0,INDEX(MCS!$F$5:$F$14,W37))</f>
        <v>144.444444444444</v>
      </c>
      <c r="AA37" s="22" t="n">
        <f aca="false">IF(Y37&gt;0,Supuestos!$C$29*Supuestos!$C$30/(Supuestos!$C$17*Y37),0)</f>
        <v>0.00958579881656805</v>
      </c>
      <c r="AB37" s="22" t="n">
        <f aca="false">IF(Z37&gt;0,Supuestos!$C$29*Supuestos!$C$31/(Supuestos!$C$17*Z37),0)</f>
        <v>0.00119822485207101</v>
      </c>
    </row>
    <row r="38" customFormat="false" ht="15" hidden="false" customHeight="false" outlineLevel="0" collapsed="false">
      <c r="A38" s="13" t="n">
        <v>34</v>
      </c>
      <c r="B38" s="17" t="n">
        <v>303.6</v>
      </c>
      <c r="C38" s="18" t="n">
        <v>234.3</v>
      </c>
      <c r="D38" s="18" t="n">
        <v>213.7</v>
      </c>
      <c r="E38" s="19" t="n">
        <v>7</v>
      </c>
      <c r="F38" s="6" t="str">
        <f aca="false">IF(AND(B38&gt;=90,B38&lt;210),"S1",IF(AND(B38&gt;=210,B38&lt;330),"S2","S3"))</f>
        <v>S2</v>
      </c>
      <c r="G38" s="6" t="n">
        <f aca="false">IF(F38="S1",Supuestos!$C$26,IF(F38="S2",Supuestos!$C$27,Supuestos!$C$28))</f>
        <v>270</v>
      </c>
      <c r="H38" s="7" t="n">
        <f aca="false">MOD(B38-G38+180,360)-180</f>
        <v>33.6</v>
      </c>
      <c r="I38" s="7" t="n">
        <f aca="false">Supuestos!$C$7-(D38-Supuestos!$C$8)-Supuestos!$C$9</f>
        <v>16.3</v>
      </c>
      <c r="J38" s="7" t="n">
        <f aca="false">SQRT(C38^2+I38^2)</f>
        <v>234.866302393511</v>
      </c>
      <c r="K38" s="20" t="n">
        <f aca="false">DEGREES(ATAN2(C38,I38))</f>
        <v>3.97959407222071</v>
      </c>
      <c r="L38" s="20" t="n">
        <f aca="false">K38-(Supuestos!$C$21+Supuestos!$C$22)</f>
        <v>-0.0204059277792905</v>
      </c>
      <c r="M38" s="7" t="n">
        <f aca="false">MIN(6*(2*H38/Supuestos!$C$20)^2,Supuestos!$C$24)</f>
        <v>1.44360594597475</v>
      </c>
      <c r="N38" s="21" t="n">
        <f aca="false">PI()*Supuestos!$C$23/Supuestos!$C$6*SIN(RADIANS(L38))</f>
        <v>-0.00794432369288345</v>
      </c>
      <c r="O38" s="7" t="n">
        <f aca="false">IF(ABS(N38)&lt;0.000000001,0,MIN(-20*LOG10(MAX(ABS(SIN(N38)/N38),0.000001)),Supuestos!$C$25))</f>
        <v>9.13645738172639E-005</v>
      </c>
      <c r="P38" s="7" t="n">
        <f aca="false">Supuestos!$C$19-M38-O38</f>
        <v>14.0563026894514</v>
      </c>
      <c r="Q38" s="7" t="n">
        <f aca="false">32.44+20*LOG10(J38/1000)+20*LOG10(Supuestos!$C$5*1000)</f>
        <v>95.1249740821312</v>
      </c>
      <c r="R38" s="7" t="n">
        <f aca="false">IF(E38&lt;=0,0,IF(E38&lt;=14,0.45*Supuestos!$C$5^0.284*E38,1.33*Supuestos!$C$5^0.284*MIN(E38,400)^0.588))</f>
        <v>5.18948312376934</v>
      </c>
      <c r="S38" s="7" t="n">
        <f aca="false">Q38+R38+Supuestos!$C$12+Supuestos!$C$13+Supuestos!$C$11-P38-Supuestos!$C$10</f>
        <v>65.0581545164491</v>
      </c>
      <c r="T38" s="7" t="n">
        <f aca="false">MCS!$E$5-S38-MCS!$G$5</f>
        <v>55.9418454835509</v>
      </c>
      <c r="U38" s="7" t="n">
        <f aca="false">T38-Supuestos!$C$15</f>
        <v>52.9418454835509</v>
      </c>
      <c r="V38" s="5" t="n">
        <f aca="false">SUMPRODUCT(--(MCS!$E$5:$E$14-$S38-MCS!$G$5:$G$14&gt;=Supuestos!$C$16))</f>
        <v>10</v>
      </c>
      <c r="W38" s="5" t="n">
        <f aca="false">SUMPRODUCT(--(MCS!$E$5:$E$14-Supuestos!$C$15-$S38-MCS!$G$5:$G$14&gt;=Supuestos!$C$16))</f>
        <v>10</v>
      </c>
      <c r="X38" s="6" t="str">
        <f aca="false">IF(V38=0,"ninguno",INDEX(MCS!$A$5:$A$14,V38))</f>
        <v>256QAM 5/6</v>
      </c>
      <c r="Y38" s="7" t="n">
        <f aca="false">IF(V38=0,0,INDEX(MCS!$F$5:$F$14,V38))</f>
        <v>192.592592592593</v>
      </c>
      <c r="Z38" s="7" t="n">
        <f aca="false">IF(W38=0,0,INDEX(MCS!$F$5:$F$14,W38))</f>
        <v>192.592592592593</v>
      </c>
      <c r="AA38" s="22" t="n">
        <f aca="false">IF(Y38&gt;0,Supuestos!$C$29*Supuestos!$C$30/(Supuestos!$C$17*Y38),0)</f>
        <v>0.00718934911242604</v>
      </c>
      <c r="AB38" s="22" t="n">
        <f aca="false">IF(Z38&gt;0,Supuestos!$C$29*Supuestos!$C$31/(Supuestos!$C$17*Z38),0)</f>
        <v>0.000898668639053254</v>
      </c>
    </row>
    <row r="39" customFormat="false" ht="15" hidden="false" customHeight="false" outlineLevel="0" collapsed="false">
      <c r="A39" s="13" t="n">
        <v>35</v>
      </c>
      <c r="B39" s="17" t="n">
        <v>304.1</v>
      </c>
      <c r="C39" s="18" t="n">
        <v>198.1</v>
      </c>
      <c r="D39" s="18" t="n">
        <v>211</v>
      </c>
      <c r="E39" s="19" t="n">
        <v>9</v>
      </c>
      <c r="F39" s="6" t="str">
        <f aca="false">IF(AND(B39&gt;=90,B39&lt;210),"S1",IF(AND(B39&gt;=210,B39&lt;330),"S2","S3"))</f>
        <v>S2</v>
      </c>
      <c r="G39" s="6" t="n">
        <f aca="false">IF(F39="S1",Supuestos!$C$26,IF(F39="S2",Supuestos!$C$27,Supuestos!$C$28))</f>
        <v>270</v>
      </c>
      <c r="H39" s="7" t="n">
        <f aca="false">MOD(B39-G39+180,360)-180</f>
        <v>34.1</v>
      </c>
      <c r="I39" s="7" t="n">
        <f aca="false">Supuestos!$C$7-(D39-Supuestos!$C$8)-Supuestos!$C$9</f>
        <v>19</v>
      </c>
      <c r="J39" s="7" t="n">
        <f aca="false">SQRT(C39^2+I39^2)</f>
        <v>199.009070145056</v>
      </c>
      <c r="K39" s="20" t="n">
        <f aca="false">DEGREES(ATAN2(C39,I39))</f>
        <v>5.47854649918111</v>
      </c>
      <c r="L39" s="20" t="n">
        <f aca="false">K39-(Supuestos!$C$21+Supuestos!$C$22)</f>
        <v>1.47854649918111</v>
      </c>
      <c r="M39" s="7" t="n">
        <f aca="false">MIN(6*(2*H39/Supuestos!$C$20)^2,Supuestos!$C$24)</f>
        <v>1.48689008471416</v>
      </c>
      <c r="N39" s="21" t="n">
        <f aca="false">PI()*Supuestos!$C$23/Supuestos!$C$6*SIN(RADIANS(L39))</f>
        <v>0.575555727732003</v>
      </c>
      <c r="O39" s="7" t="n">
        <f aca="false">IF(ABS(N39)&lt;0.000000001,0,MIN(-20*LOG10(MAX(ABS(SIN(N39)/N39),0.000001)),Supuestos!$C$25))</f>
        <v>0.484963857283708</v>
      </c>
      <c r="P39" s="7" t="n">
        <f aca="false">Supuestos!$C$19-M39-O39</f>
        <v>13.5281460580021</v>
      </c>
      <c r="Q39" s="7" t="n">
        <f aca="false">32.44+20*LOG10(J39/1000)+20*LOG10(Supuestos!$C$5*1000)</f>
        <v>93.6860172812801</v>
      </c>
      <c r="R39" s="7" t="n">
        <f aca="false">IF(E39&lt;=0,0,IF(E39&lt;=14,0.45*Supuestos!$C$5^0.284*E39,1.33*Supuestos!$C$5^0.284*MIN(E39,400)^0.588))</f>
        <v>6.67219258770343</v>
      </c>
      <c r="S39" s="7" t="n">
        <f aca="false">Q39+R39+Supuestos!$C$12+Supuestos!$C$13+Supuestos!$C$11-P39-Supuestos!$C$10</f>
        <v>65.6300638109814</v>
      </c>
      <c r="T39" s="7" t="n">
        <f aca="false">MCS!$E$5-S39-MCS!$G$5</f>
        <v>55.3699361890186</v>
      </c>
      <c r="U39" s="7" t="n">
        <f aca="false">T39-Supuestos!$C$15</f>
        <v>52.3699361890186</v>
      </c>
      <c r="V39" s="5" t="n">
        <f aca="false">SUMPRODUCT(--(MCS!$E$5:$E$14-$S39-MCS!$G$5:$G$14&gt;=Supuestos!$C$16))</f>
        <v>10</v>
      </c>
      <c r="W39" s="5" t="n">
        <f aca="false">SUMPRODUCT(--(MCS!$E$5:$E$14-Supuestos!$C$15-$S39-MCS!$G$5:$G$14&gt;=Supuestos!$C$16))</f>
        <v>10</v>
      </c>
      <c r="X39" s="6" t="str">
        <f aca="false">IF(V39=0,"ninguno",INDEX(MCS!$A$5:$A$14,V39))</f>
        <v>256QAM 5/6</v>
      </c>
      <c r="Y39" s="7" t="n">
        <f aca="false">IF(V39=0,0,INDEX(MCS!$F$5:$F$14,V39))</f>
        <v>192.592592592593</v>
      </c>
      <c r="Z39" s="7" t="n">
        <f aca="false">IF(W39=0,0,INDEX(MCS!$F$5:$F$14,W39))</f>
        <v>192.592592592593</v>
      </c>
      <c r="AA39" s="22" t="n">
        <f aca="false">IF(Y39&gt;0,Supuestos!$C$29*Supuestos!$C$30/(Supuestos!$C$17*Y39),0)</f>
        <v>0.00718934911242604</v>
      </c>
      <c r="AB39" s="22" t="n">
        <f aca="false">IF(Z39&gt;0,Supuestos!$C$29*Supuestos!$C$31/(Supuestos!$C$17*Z39),0)</f>
        <v>0.000898668639053254</v>
      </c>
    </row>
    <row r="40" customFormat="false" ht="15" hidden="false" customHeight="false" outlineLevel="0" collapsed="false">
      <c r="A40" s="13" t="n">
        <v>36</v>
      </c>
      <c r="B40" s="17" t="n">
        <v>294.3</v>
      </c>
      <c r="C40" s="18" t="n">
        <v>143.1</v>
      </c>
      <c r="D40" s="18" t="n">
        <v>207.2</v>
      </c>
      <c r="E40" s="19" t="n">
        <v>0</v>
      </c>
      <c r="F40" s="6" t="str">
        <f aca="false">IF(AND(B40&gt;=90,B40&lt;210),"S1",IF(AND(B40&gt;=210,B40&lt;330),"S2","S3"))</f>
        <v>S2</v>
      </c>
      <c r="G40" s="6" t="n">
        <f aca="false">IF(F40="S1",Supuestos!$C$26,IF(F40="S2",Supuestos!$C$27,Supuestos!$C$28))</f>
        <v>270</v>
      </c>
      <c r="H40" s="7" t="n">
        <f aca="false">MOD(B40-G40+180,360)-180</f>
        <v>24.3</v>
      </c>
      <c r="I40" s="7" t="n">
        <f aca="false">Supuestos!$C$7-(D40-Supuestos!$C$8)-Supuestos!$C$9</f>
        <v>22.8</v>
      </c>
      <c r="J40" s="7" t="n">
        <f aca="false">SQRT(C40^2+I40^2)</f>
        <v>144.904968858904</v>
      </c>
      <c r="K40" s="20" t="n">
        <f aca="false">DEGREES(ATAN2(C40,I40))</f>
        <v>9.0527950195452</v>
      </c>
      <c r="L40" s="20" t="n">
        <f aca="false">K40-(Supuestos!$C$21+Supuestos!$C$22)</f>
        <v>5.0527950195452</v>
      </c>
      <c r="M40" s="7" t="n">
        <f aca="false">MIN(6*(2*H40/Supuestos!$C$20)^2,Supuestos!$C$24)</f>
        <v>0.755062070435293</v>
      </c>
      <c r="N40" s="21" t="n">
        <f aca="false">PI()*Supuestos!$C$23/Supuestos!$C$6*SIN(RADIANS(L40))</f>
        <v>1.96457767092224</v>
      </c>
      <c r="O40" s="7" t="n">
        <f aca="false">IF(ABS(N40)&lt;0.000000001,0,MIN(-20*LOG10(MAX(ABS(SIN(N40)/N40),0.000001)),Supuestos!$C$25))</f>
        <v>6.55697689346924</v>
      </c>
      <c r="P40" s="7" t="n">
        <f aca="false">Supuestos!$C$19-M40-O40</f>
        <v>8.18796103609546</v>
      </c>
      <c r="Q40" s="7" t="n">
        <f aca="false">32.44+20*LOG10(J40/1000)+20*LOG10(Supuestos!$C$5*1000)</f>
        <v>90.930225428992</v>
      </c>
      <c r="R40" s="7" t="n">
        <f aca="false">IF(E40&lt;=0,0,IF(E40&lt;=14,0.45*Supuestos!$C$5^0.284*E40,1.33*Supuestos!$C$5^0.284*MIN(E40,400)^0.588))</f>
        <v>0</v>
      </c>
      <c r="S40" s="7" t="n">
        <f aca="false">Q40+R40+Supuestos!$C$12+Supuestos!$C$13+Supuestos!$C$11-P40-Supuestos!$C$10</f>
        <v>61.5422643928966</v>
      </c>
      <c r="T40" s="7" t="n">
        <f aca="false">MCS!$E$5-S40-MCS!$G$5</f>
        <v>59.4577356071034</v>
      </c>
      <c r="U40" s="7" t="n">
        <f aca="false">T40-Supuestos!$C$15</f>
        <v>56.4577356071034</v>
      </c>
      <c r="V40" s="5" t="n">
        <f aca="false">SUMPRODUCT(--(MCS!$E$5:$E$14-$S40-MCS!$G$5:$G$14&gt;=Supuestos!$C$16))</f>
        <v>10</v>
      </c>
      <c r="W40" s="5" t="n">
        <f aca="false">SUMPRODUCT(--(MCS!$E$5:$E$14-Supuestos!$C$15-$S40-MCS!$G$5:$G$14&gt;=Supuestos!$C$16))</f>
        <v>10</v>
      </c>
      <c r="X40" s="6" t="str">
        <f aca="false">IF(V40=0,"ninguno",INDEX(MCS!$A$5:$A$14,V40))</f>
        <v>256QAM 5/6</v>
      </c>
      <c r="Y40" s="7" t="n">
        <f aca="false">IF(V40=0,0,INDEX(MCS!$F$5:$F$14,V40))</f>
        <v>192.592592592593</v>
      </c>
      <c r="Z40" s="7" t="n">
        <f aca="false">IF(W40=0,0,INDEX(MCS!$F$5:$F$14,W40))</f>
        <v>192.592592592593</v>
      </c>
      <c r="AA40" s="22" t="n">
        <f aca="false">IF(Y40&gt;0,Supuestos!$C$29*Supuestos!$C$30/(Supuestos!$C$17*Y40),0)</f>
        <v>0.00718934911242604</v>
      </c>
      <c r="AB40" s="22" t="n">
        <f aca="false">IF(Z40&gt;0,Supuestos!$C$29*Supuestos!$C$31/(Supuestos!$C$17*Z40),0)</f>
        <v>0.000898668639053254</v>
      </c>
    </row>
    <row r="41" customFormat="false" ht="15" hidden="false" customHeight="false" outlineLevel="0" collapsed="false">
      <c r="A41" s="13" t="n">
        <v>37</v>
      </c>
      <c r="B41" s="17" t="n">
        <v>297.1</v>
      </c>
      <c r="C41" s="18" t="n">
        <v>126.5</v>
      </c>
      <c r="D41" s="18" t="n">
        <v>207.4</v>
      </c>
      <c r="E41" s="19" t="n">
        <v>0</v>
      </c>
      <c r="F41" s="6" t="str">
        <f aca="false">IF(AND(B41&gt;=90,B41&lt;210),"S1",IF(AND(B41&gt;=210,B41&lt;330),"S2","S3"))</f>
        <v>S2</v>
      </c>
      <c r="G41" s="6" t="n">
        <f aca="false">IF(F41="S1",Supuestos!$C$26,IF(F41="S2",Supuestos!$C$27,Supuestos!$C$28))</f>
        <v>270</v>
      </c>
      <c r="H41" s="7" t="n">
        <f aca="false">MOD(B41-G41+180,360)-180</f>
        <v>27.1</v>
      </c>
      <c r="I41" s="7" t="n">
        <f aca="false">Supuestos!$C$7-(D41-Supuestos!$C$8)-Supuestos!$C$9</f>
        <v>22.6</v>
      </c>
      <c r="J41" s="7" t="n">
        <f aca="false">SQRT(C41^2+I41^2)</f>
        <v>128.502957164417</v>
      </c>
      <c r="K41" s="20" t="n">
        <f aca="false">DEGREES(ATAN2(C41,I41))</f>
        <v>10.1293744553473</v>
      </c>
      <c r="L41" s="20" t="n">
        <f aca="false">K41-(Supuestos!$C$21+Supuestos!$C$22)</f>
        <v>6.12937445534729</v>
      </c>
      <c r="M41" s="7" t="n">
        <f aca="false">MIN(6*(2*H41/Supuestos!$C$20)^2,Supuestos!$C$24)</f>
        <v>0.939093185571955</v>
      </c>
      <c r="N41" s="21" t="n">
        <f aca="false">PI()*Supuestos!$C$23/Supuestos!$C$6*SIN(RADIANS(L41))</f>
        <v>2.38170556333847</v>
      </c>
      <c r="O41" s="7" t="n">
        <f aca="false">IF(ABS(N41)&lt;0.000000001,0,MIN(-20*LOG10(MAX(ABS(SIN(N41)/N41),0.000001)),Supuestos!$C$25))</f>
        <v>10.7753993089961</v>
      </c>
      <c r="P41" s="7" t="n">
        <f aca="false">Supuestos!$C$19-M41-O41</f>
        <v>3.78550750543193</v>
      </c>
      <c r="Q41" s="7" t="n">
        <f aca="false">32.44+20*LOG10(J41/1000)+20*LOG10(Supuestos!$C$5*1000)</f>
        <v>89.8868223102721</v>
      </c>
      <c r="R41" s="7" t="n">
        <f aca="false">IF(E41&lt;=0,0,IF(E41&lt;=14,0.45*Supuestos!$C$5^0.284*E41,1.33*Supuestos!$C$5^0.284*MIN(E41,400)^0.588))</f>
        <v>0</v>
      </c>
      <c r="S41" s="7" t="n">
        <f aca="false">Q41+R41+Supuestos!$C$12+Supuestos!$C$13+Supuestos!$C$11-P41-Supuestos!$C$10</f>
        <v>64.9013148048402</v>
      </c>
      <c r="T41" s="7" t="n">
        <f aca="false">MCS!$E$5-S41-MCS!$G$5</f>
        <v>56.0986851951598</v>
      </c>
      <c r="U41" s="7" t="n">
        <f aca="false">T41-Supuestos!$C$15</f>
        <v>53.0986851951598</v>
      </c>
      <c r="V41" s="5" t="n">
        <f aca="false">SUMPRODUCT(--(MCS!$E$5:$E$14-$S41-MCS!$G$5:$G$14&gt;=Supuestos!$C$16))</f>
        <v>10</v>
      </c>
      <c r="W41" s="5" t="n">
        <f aca="false">SUMPRODUCT(--(MCS!$E$5:$E$14-Supuestos!$C$15-$S41-MCS!$G$5:$G$14&gt;=Supuestos!$C$16))</f>
        <v>10</v>
      </c>
      <c r="X41" s="6" t="str">
        <f aca="false">IF(V41=0,"ninguno",INDEX(MCS!$A$5:$A$14,V41))</f>
        <v>256QAM 5/6</v>
      </c>
      <c r="Y41" s="7" t="n">
        <f aca="false">IF(V41=0,0,INDEX(MCS!$F$5:$F$14,V41))</f>
        <v>192.592592592593</v>
      </c>
      <c r="Z41" s="7" t="n">
        <f aca="false">IF(W41=0,0,INDEX(MCS!$F$5:$F$14,W41))</f>
        <v>192.592592592593</v>
      </c>
      <c r="AA41" s="22" t="n">
        <f aca="false">IF(Y41&gt;0,Supuestos!$C$29*Supuestos!$C$30/(Supuestos!$C$17*Y41),0)</f>
        <v>0.00718934911242604</v>
      </c>
      <c r="AB41" s="22" t="n">
        <f aca="false">IF(Z41&gt;0,Supuestos!$C$29*Supuestos!$C$31/(Supuestos!$C$17*Z41),0)</f>
        <v>0.000898668639053254</v>
      </c>
    </row>
    <row r="42" customFormat="false" ht="15" hidden="false" customHeight="false" outlineLevel="0" collapsed="false">
      <c r="A42" s="13" t="n">
        <v>38</v>
      </c>
      <c r="B42" s="17" t="n">
        <v>300.2</v>
      </c>
      <c r="C42" s="18" t="n">
        <v>108.7</v>
      </c>
      <c r="D42" s="18" t="n">
        <v>207.2</v>
      </c>
      <c r="E42" s="19" t="n">
        <v>0</v>
      </c>
      <c r="F42" s="6" t="str">
        <f aca="false">IF(AND(B42&gt;=90,B42&lt;210),"S1",IF(AND(B42&gt;=210,B42&lt;330),"S2","S3"))</f>
        <v>S2</v>
      </c>
      <c r="G42" s="6" t="n">
        <f aca="false">IF(F42="S1",Supuestos!$C$26,IF(F42="S2",Supuestos!$C$27,Supuestos!$C$28))</f>
        <v>270</v>
      </c>
      <c r="H42" s="7" t="n">
        <f aca="false">MOD(B42-G42+180,360)-180</f>
        <v>30.2</v>
      </c>
      <c r="I42" s="7" t="n">
        <f aca="false">Supuestos!$C$7-(D42-Supuestos!$C$8)-Supuestos!$C$9</f>
        <v>22.8</v>
      </c>
      <c r="J42" s="7" t="n">
        <f aca="false">SQRT(C42^2+I42^2)</f>
        <v>111.065431165597</v>
      </c>
      <c r="K42" s="20" t="n">
        <f aca="false">DEGREES(ATAN2(C42,I42))</f>
        <v>11.8461478470013</v>
      </c>
      <c r="L42" s="20" t="n">
        <f aca="false">K42-(Supuestos!$C$21+Supuestos!$C$22)</f>
        <v>7.84614784700126</v>
      </c>
      <c r="M42" s="7" t="n">
        <f aca="false">MIN(6*(2*H42/Supuestos!$C$20)^2,Supuestos!$C$24)</f>
        <v>1.16622942085353</v>
      </c>
      <c r="N42" s="21" t="n">
        <f aca="false">PI()*Supuestos!$C$23/Supuestos!$C$6*SIN(RADIANS(L42))</f>
        <v>3.0450810399455</v>
      </c>
      <c r="O42" s="7" t="n">
        <f aca="false">IF(ABS(N42)&lt;0.000000001,0,MIN(-20*LOG10(MAX(ABS(SIN(N42)/N42),0.000001)),Supuestos!$C$25))</f>
        <v>25</v>
      </c>
      <c r="P42" s="7" t="n">
        <f aca="false">Supuestos!$C$19-M42-O42</f>
        <v>-10.6662294208535</v>
      </c>
      <c r="Q42" s="7" t="n">
        <f aca="false">32.44+20*LOG10(J42/1000)+20*LOG10(Supuestos!$C$5*1000)</f>
        <v>88.6201380095411</v>
      </c>
      <c r="R42" s="7" t="n">
        <f aca="false">IF(E42&lt;=0,0,IF(E42&lt;=14,0.45*Supuestos!$C$5^0.284*E42,1.33*Supuestos!$C$5^0.284*MIN(E42,400)^0.588))</f>
        <v>0</v>
      </c>
      <c r="S42" s="7" t="n">
        <f aca="false">Q42+R42+Supuestos!$C$12+Supuestos!$C$13+Supuestos!$C$11-P42-Supuestos!$C$10</f>
        <v>78.0863674303946</v>
      </c>
      <c r="T42" s="7" t="n">
        <f aca="false">MCS!$E$5-S42-MCS!$G$5</f>
        <v>42.9136325696054</v>
      </c>
      <c r="U42" s="7" t="n">
        <f aca="false">T42-Supuestos!$C$15</f>
        <v>39.9136325696054</v>
      </c>
      <c r="V42" s="5" t="n">
        <f aca="false">SUMPRODUCT(--(MCS!$E$5:$E$14-$S42-MCS!$G$5:$G$14&gt;=Supuestos!$C$16))</f>
        <v>9</v>
      </c>
      <c r="W42" s="5" t="n">
        <f aca="false">SUMPRODUCT(--(MCS!$E$5:$E$14-Supuestos!$C$15-$S42-MCS!$G$5:$G$14&gt;=Supuestos!$C$16))</f>
        <v>8</v>
      </c>
      <c r="X42" s="6" t="str">
        <f aca="false">IF(V42=0,"ninguno",INDEX(MCS!$A$5:$A$14,V42))</f>
        <v>256QAM 3/4</v>
      </c>
      <c r="Y42" s="7" t="n">
        <f aca="false">IF(V42=0,0,INDEX(MCS!$F$5:$F$14,V42))</f>
        <v>173.333333333333</v>
      </c>
      <c r="Z42" s="7" t="n">
        <f aca="false">IF(W42=0,0,INDEX(MCS!$F$5:$F$14,W42))</f>
        <v>144.444444444444</v>
      </c>
      <c r="AA42" s="22" t="n">
        <f aca="false">IF(Y42&gt;0,Supuestos!$C$29*Supuestos!$C$30/(Supuestos!$C$17*Y42),0)</f>
        <v>0.00798816568047337</v>
      </c>
      <c r="AB42" s="22" t="n">
        <f aca="false">IF(Z42&gt;0,Supuestos!$C$29*Supuestos!$C$31/(Supuestos!$C$17*Z42),0)</f>
        <v>0.00119822485207101</v>
      </c>
    </row>
    <row r="43" customFormat="false" ht="15" hidden="false" customHeight="false" outlineLevel="0" collapsed="false">
      <c r="A43" s="13" t="n">
        <v>39</v>
      </c>
      <c r="B43" s="17" t="n">
        <v>304.1</v>
      </c>
      <c r="C43" s="18" t="n">
        <v>92.6</v>
      </c>
      <c r="D43" s="18" t="n">
        <v>206.9</v>
      </c>
      <c r="E43" s="19" t="n">
        <v>0</v>
      </c>
      <c r="F43" s="6" t="str">
        <f aca="false">IF(AND(B43&gt;=90,B43&lt;210),"S1",IF(AND(B43&gt;=210,B43&lt;330),"S2","S3"))</f>
        <v>S2</v>
      </c>
      <c r="G43" s="6" t="n">
        <f aca="false">IF(F43="S1",Supuestos!$C$26,IF(F43="S2",Supuestos!$C$27,Supuestos!$C$28))</f>
        <v>270</v>
      </c>
      <c r="H43" s="7" t="n">
        <f aca="false">MOD(B43-G43+180,360)-180</f>
        <v>34.1</v>
      </c>
      <c r="I43" s="7" t="n">
        <f aca="false">Supuestos!$C$7-(D43-Supuestos!$C$8)-Supuestos!$C$9</f>
        <v>23.1</v>
      </c>
      <c r="J43" s="7" t="n">
        <f aca="false">SQRT(C43^2+I43^2)</f>
        <v>95.4377807788928</v>
      </c>
      <c r="K43" s="20" t="n">
        <f aca="false">DEGREES(ATAN2(C43,I43))</f>
        <v>14.0071223626765</v>
      </c>
      <c r="L43" s="20" t="n">
        <f aca="false">K43-(Supuestos!$C$21+Supuestos!$C$22)</f>
        <v>10.0071223626765</v>
      </c>
      <c r="M43" s="7" t="n">
        <f aca="false">MIN(6*(2*H43/Supuestos!$C$20)^2,Supuestos!$C$24)</f>
        <v>1.48689008471416</v>
      </c>
      <c r="N43" s="21" t="n">
        <f aca="false">PI()*Supuestos!$C$23/Supuestos!$C$6*SIN(RADIANS(L43))</f>
        <v>3.87614057791213</v>
      </c>
      <c r="O43" s="7" t="n">
        <f aca="false">IF(ABS(N43)&lt;0.000000001,0,MIN(-20*LOG10(MAX(ABS(SIN(N43)/N43),0.000001)),Supuestos!$C$25))</f>
        <v>15.2432316007459</v>
      </c>
      <c r="P43" s="7" t="n">
        <f aca="false">Supuestos!$C$19-M43-O43</f>
        <v>-1.23012168546002</v>
      </c>
      <c r="Q43" s="7" t="n">
        <f aca="false">32.44+20*LOG10(J43/1000)+20*LOG10(Supuestos!$C$5*1000)</f>
        <v>87.3029665132793</v>
      </c>
      <c r="R43" s="7" t="n">
        <f aca="false">IF(E43&lt;=0,0,IF(E43&lt;=14,0.45*Supuestos!$C$5^0.284*E43,1.33*Supuestos!$C$5^0.284*MIN(E43,400)^0.588))</f>
        <v>0</v>
      </c>
      <c r="S43" s="7" t="n">
        <f aca="false">Q43+R43+Supuestos!$C$12+Supuestos!$C$13+Supuestos!$C$11-P43-Supuestos!$C$10</f>
        <v>67.3330881987393</v>
      </c>
      <c r="T43" s="7" t="n">
        <f aca="false">MCS!$E$5-S43-MCS!$G$5</f>
        <v>53.6669118012607</v>
      </c>
      <c r="U43" s="7" t="n">
        <f aca="false">T43-Supuestos!$C$15</f>
        <v>50.6669118012607</v>
      </c>
      <c r="V43" s="5" t="n">
        <f aca="false">SUMPRODUCT(--(MCS!$E$5:$E$14-$S43-MCS!$G$5:$G$14&gt;=Supuestos!$C$16))</f>
        <v>10</v>
      </c>
      <c r="W43" s="5" t="n">
        <f aca="false">SUMPRODUCT(--(MCS!$E$5:$E$14-Supuestos!$C$15-$S43-MCS!$G$5:$G$14&gt;=Supuestos!$C$16))</f>
        <v>10</v>
      </c>
      <c r="X43" s="6" t="str">
        <f aca="false">IF(V43=0,"ninguno",INDEX(MCS!$A$5:$A$14,V43))</f>
        <v>256QAM 5/6</v>
      </c>
      <c r="Y43" s="7" t="n">
        <f aca="false">IF(V43=0,0,INDEX(MCS!$F$5:$F$14,V43))</f>
        <v>192.592592592593</v>
      </c>
      <c r="Z43" s="7" t="n">
        <f aca="false">IF(W43=0,0,INDEX(MCS!$F$5:$F$14,W43))</f>
        <v>192.592592592593</v>
      </c>
      <c r="AA43" s="22" t="n">
        <f aca="false">IF(Y43&gt;0,Supuestos!$C$29*Supuestos!$C$30/(Supuestos!$C$17*Y43),0)</f>
        <v>0.00718934911242604</v>
      </c>
      <c r="AB43" s="22" t="n">
        <f aca="false">IF(Z43&gt;0,Supuestos!$C$29*Supuestos!$C$31/(Supuestos!$C$17*Z43),0)</f>
        <v>0.000898668639053254</v>
      </c>
    </row>
    <row r="44" customFormat="false" ht="15" hidden="false" customHeight="false" outlineLevel="0" collapsed="false">
      <c r="A44" s="13" t="n">
        <v>40</v>
      </c>
      <c r="B44" s="17" t="n">
        <v>290.6</v>
      </c>
      <c r="C44" s="18" t="n">
        <v>81.3</v>
      </c>
      <c r="D44" s="18" t="n">
        <v>205.9</v>
      </c>
      <c r="E44" s="19" t="n">
        <v>1</v>
      </c>
      <c r="F44" s="6" t="str">
        <f aca="false">IF(AND(B44&gt;=90,B44&lt;210),"S1",IF(AND(B44&gt;=210,B44&lt;330),"S2","S3"))</f>
        <v>S2</v>
      </c>
      <c r="G44" s="6" t="n">
        <f aca="false">IF(F44="S1",Supuestos!$C$26,IF(F44="S2",Supuestos!$C$27,Supuestos!$C$28))</f>
        <v>270</v>
      </c>
      <c r="H44" s="7" t="n">
        <f aca="false">MOD(B44-G44+180,360)-180</f>
        <v>20.6</v>
      </c>
      <c r="I44" s="7" t="n">
        <f aca="false">Supuestos!$C$7-(D44-Supuestos!$C$8)-Supuestos!$C$9</f>
        <v>24.1</v>
      </c>
      <c r="J44" s="7" t="n">
        <f aca="false">SQRT(C44^2+I44^2)</f>
        <v>84.7968159779599</v>
      </c>
      <c r="K44" s="20" t="n">
        <f aca="false">DEGREES(ATAN2(C44,I44))</f>
        <v>16.5115596454024</v>
      </c>
      <c r="L44" s="20" t="n">
        <f aca="false">K44-(Supuestos!$C$21+Supuestos!$C$22)</f>
        <v>12.5115596454024</v>
      </c>
      <c r="M44" s="7" t="n">
        <f aca="false">MIN(6*(2*H44/Supuestos!$C$20)^2,Supuestos!$C$24)</f>
        <v>0.542630933986895</v>
      </c>
      <c r="N44" s="21" t="n">
        <f aca="false">PI()*Supuestos!$C$23/Supuestos!$C$6*SIN(RADIANS(L44))</f>
        <v>4.83231259733941</v>
      </c>
      <c r="O44" s="7" t="n">
        <f aca="false">IF(ABS(N44)&lt;0.000000001,0,MIN(-20*LOG10(MAX(ABS(SIN(N44)/N44),0.000001)),Supuestos!$C$25))</f>
        <v>13.7457095149475</v>
      </c>
      <c r="P44" s="7" t="n">
        <f aca="false">Supuestos!$C$19-M44-O44</f>
        <v>1.21165955106561</v>
      </c>
      <c r="Q44" s="7" t="n">
        <f aca="false">32.44+20*LOG10(J44/1000)+20*LOG10(Supuestos!$C$5*1000)</f>
        <v>86.2761507774394</v>
      </c>
      <c r="R44" s="7" t="n">
        <f aca="false">IF(E44&lt;=0,0,IF(E44&lt;=14,0.45*Supuestos!$C$5^0.284*E44,1.33*Supuestos!$C$5^0.284*MIN(E44,400)^0.588))</f>
        <v>0.741354731967048</v>
      </c>
      <c r="S44" s="7" t="n">
        <f aca="false">Q44+R44+Supuestos!$C$12+Supuestos!$C$13+Supuestos!$C$11-P44-Supuestos!$C$10</f>
        <v>64.6058459583409</v>
      </c>
      <c r="T44" s="7" t="n">
        <f aca="false">MCS!$E$5-S44-MCS!$G$5</f>
        <v>56.3941540416591</v>
      </c>
      <c r="U44" s="7" t="n">
        <f aca="false">T44-Supuestos!$C$15</f>
        <v>53.3941540416591</v>
      </c>
      <c r="V44" s="5" t="n">
        <f aca="false">SUMPRODUCT(--(MCS!$E$5:$E$14-$S44-MCS!$G$5:$G$14&gt;=Supuestos!$C$16))</f>
        <v>10</v>
      </c>
      <c r="W44" s="5" t="n">
        <f aca="false">SUMPRODUCT(--(MCS!$E$5:$E$14-Supuestos!$C$15-$S44-MCS!$G$5:$G$14&gt;=Supuestos!$C$16))</f>
        <v>10</v>
      </c>
      <c r="X44" s="6" t="str">
        <f aca="false">IF(V44=0,"ninguno",INDEX(MCS!$A$5:$A$14,V44))</f>
        <v>256QAM 5/6</v>
      </c>
      <c r="Y44" s="7" t="n">
        <f aca="false">IF(V44=0,0,INDEX(MCS!$F$5:$F$14,V44))</f>
        <v>192.592592592593</v>
      </c>
      <c r="Z44" s="7" t="n">
        <f aca="false">IF(W44=0,0,INDEX(MCS!$F$5:$F$14,W44))</f>
        <v>192.592592592593</v>
      </c>
      <c r="AA44" s="22" t="n">
        <f aca="false">IF(Y44&gt;0,Supuestos!$C$29*Supuestos!$C$30/(Supuestos!$C$17*Y44),0)</f>
        <v>0.00718934911242604</v>
      </c>
      <c r="AB44" s="22" t="n">
        <f aca="false">IF(Z44&gt;0,Supuestos!$C$29*Supuestos!$C$31/(Supuestos!$C$17*Z44),0)</f>
        <v>0.000898668639053254</v>
      </c>
    </row>
    <row r="45" customFormat="false" ht="15" hidden="false" customHeight="false" outlineLevel="0" collapsed="false">
      <c r="A45" s="13" t="n">
        <v>41</v>
      </c>
      <c r="B45" s="17" t="n">
        <v>340</v>
      </c>
      <c r="C45" s="18" t="n">
        <v>81.3</v>
      </c>
      <c r="D45" s="18" t="n">
        <v>207.7</v>
      </c>
      <c r="E45" s="19" t="n">
        <v>0</v>
      </c>
      <c r="F45" s="6" t="str">
        <f aca="false">IF(AND(B45&gt;=90,B45&lt;210),"S1",IF(AND(B45&gt;=210,B45&lt;330),"S2","S3"))</f>
        <v>S3</v>
      </c>
      <c r="G45" s="6" t="n">
        <f aca="false">IF(F45="S1",Supuestos!$C$26,IF(F45="S2",Supuestos!$C$27,Supuestos!$C$28))</f>
        <v>30</v>
      </c>
      <c r="H45" s="7" t="n">
        <f aca="false">MOD(B45-G45+180,360)-180</f>
        <v>-50</v>
      </c>
      <c r="I45" s="7" t="n">
        <f aca="false">Supuestos!$C$7-(D45-Supuestos!$C$8)-Supuestos!$C$9</f>
        <v>22.3</v>
      </c>
      <c r="J45" s="7" t="n">
        <f aca="false">SQRT(C45^2+I45^2)</f>
        <v>84.3029062369738</v>
      </c>
      <c r="K45" s="20" t="n">
        <f aca="false">DEGREES(ATAN2(C45,I45))</f>
        <v>15.338570674131</v>
      </c>
      <c r="L45" s="20" t="n">
        <f aca="false">K45-(Supuestos!$C$21+Supuestos!$C$22)</f>
        <v>11.338570674131</v>
      </c>
      <c r="M45" s="7" t="n">
        <f aca="false">MIN(6*(2*H45/Supuestos!$C$20)^2,Supuestos!$C$24)</f>
        <v>3.19676061590921</v>
      </c>
      <c r="N45" s="21" t="n">
        <f aca="false">PI()*Supuestos!$C$23/Supuestos!$C$6*SIN(RADIANS(L45))</f>
        <v>4.38551412779421</v>
      </c>
      <c r="O45" s="7" t="n">
        <f aca="false">IF(ABS(N45)&lt;0.000000001,0,MIN(-20*LOG10(MAX(ABS(SIN(N45)/N45),0.000001)),Supuestos!$C$25))</f>
        <v>13.3129484116611</v>
      </c>
      <c r="P45" s="7" t="n">
        <f aca="false">Supuestos!$C$19-M45-O45</f>
        <v>-1.00970902757029</v>
      </c>
      <c r="Q45" s="7" t="n">
        <f aca="false">32.44+20*LOG10(J45/1000)+20*LOG10(Supuestos!$C$5*1000)</f>
        <v>86.2254108040679</v>
      </c>
      <c r="R45" s="7" t="n">
        <f aca="false">IF(E45&lt;=0,0,IF(E45&lt;=14,0.45*Supuestos!$C$5^0.284*E45,1.33*Supuestos!$C$5^0.284*MIN(E45,400)^0.588))</f>
        <v>0</v>
      </c>
      <c r="S45" s="7" t="n">
        <f aca="false">Q45+R45+Supuestos!$C$12+Supuestos!$C$13+Supuestos!$C$11-P45-Supuestos!$C$10</f>
        <v>66.0351198316382</v>
      </c>
      <c r="T45" s="7" t="n">
        <f aca="false">MCS!$E$5-S45-MCS!$G$5</f>
        <v>54.9648801683618</v>
      </c>
      <c r="U45" s="7" t="n">
        <f aca="false">T45-Supuestos!$C$15</f>
        <v>51.9648801683618</v>
      </c>
      <c r="V45" s="5" t="n">
        <f aca="false">SUMPRODUCT(--(MCS!$E$5:$E$14-$S45-MCS!$G$5:$G$14&gt;=Supuestos!$C$16))</f>
        <v>10</v>
      </c>
      <c r="W45" s="5" t="n">
        <f aca="false">SUMPRODUCT(--(MCS!$E$5:$E$14-Supuestos!$C$15-$S45-MCS!$G$5:$G$14&gt;=Supuestos!$C$16))</f>
        <v>10</v>
      </c>
      <c r="X45" s="6" t="str">
        <f aca="false">IF(V45=0,"ninguno",INDEX(MCS!$A$5:$A$14,V45))</f>
        <v>256QAM 5/6</v>
      </c>
      <c r="Y45" s="7" t="n">
        <f aca="false">IF(V45=0,0,INDEX(MCS!$F$5:$F$14,V45))</f>
        <v>192.592592592593</v>
      </c>
      <c r="Z45" s="7" t="n">
        <f aca="false">IF(W45=0,0,INDEX(MCS!$F$5:$F$14,W45))</f>
        <v>192.592592592593</v>
      </c>
      <c r="AA45" s="22" t="n">
        <f aca="false">IF(Y45&gt;0,Supuestos!$C$29*Supuestos!$C$30/(Supuestos!$C$17*Y45),0)</f>
        <v>0.00718934911242604</v>
      </c>
      <c r="AB45" s="22" t="n">
        <f aca="false">IF(Z45&gt;0,Supuestos!$C$29*Supuestos!$C$31/(Supuestos!$C$17*Z45),0)</f>
        <v>0.000898668639053254</v>
      </c>
    </row>
    <row r="46" customFormat="false" ht="15" hidden="false" customHeight="false" outlineLevel="0" collapsed="false">
      <c r="A46" s="13" t="n">
        <v>42</v>
      </c>
      <c r="B46" s="17" t="n">
        <v>340.1</v>
      </c>
      <c r="C46" s="18" t="n">
        <v>59.7</v>
      </c>
      <c r="D46" s="18" t="n">
        <v>207.1</v>
      </c>
      <c r="E46" s="19" t="n">
        <v>0</v>
      </c>
      <c r="F46" s="6" t="str">
        <f aca="false">IF(AND(B46&gt;=90,B46&lt;210),"S1",IF(AND(B46&gt;=210,B46&lt;330),"S2","S3"))</f>
        <v>S3</v>
      </c>
      <c r="G46" s="6" t="n">
        <f aca="false">IF(F46="S1",Supuestos!$C$26,IF(F46="S2",Supuestos!$C$27,Supuestos!$C$28))</f>
        <v>30</v>
      </c>
      <c r="H46" s="7" t="n">
        <f aca="false">MOD(B46-G46+180,360)-180</f>
        <v>-49.9</v>
      </c>
      <c r="I46" s="7" t="n">
        <f aca="false">Supuestos!$C$7-(D46-Supuestos!$C$8)-Supuestos!$C$9</f>
        <v>22.9</v>
      </c>
      <c r="J46" s="7" t="n">
        <f aca="false">SQRT(C46^2+I46^2)</f>
        <v>63.9413794033254</v>
      </c>
      <c r="K46" s="20" t="n">
        <f aca="false">DEGREES(ATAN2(C46,I46))</f>
        <v>20.986043911923</v>
      </c>
      <c r="L46" s="20" t="n">
        <f aca="false">K46-(Supuestos!$C$21+Supuestos!$C$22)</f>
        <v>16.986043911923</v>
      </c>
      <c r="M46" s="7" t="n">
        <f aca="false">MIN(6*(2*H46/Supuestos!$C$20)^2,Supuestos!$C$24)</f>
        <v>3.18398636048804</v>
      </c>
      <c r="N46" s="21" t="n">
        <f aca="false">PI()*Supuestos!$C$23/Supuestos!$C$6*SIN(RADIANS(L46))</f>
        <v>6.51647012542627</v>
      </c>
      <c r="O46" s="7" t="n">
        <f aca="false">IF(ABS(N46)&lt;0.000000001,0,MIN(-20*LOG10(MAX(ABS(SIN(N46)/N46),0.000001)),Supuestos!$C$25))</f>
        <v>25</v>
      </c>
      <c r="P46" s="7" t="n">
        <f aca="false">Supuestos!$C$19-M46-O46</f>
        <v>-12.683986360488</v>
      </c>
      <c r="Q46" s="7" t="n">
        <f aca="false">32.44+20*LOG10(J46/1000)+20*LOG10(Supuestos!$C$5*1000)</f>
        <v>83.82419989214</v>
      </c>
      <c r="R46" s="7" t="n">
        <f aca="false">IF(E46&lt;=0,0,IF(E46&lt;=14,0.45*Supuestos!$C$5^0.284*E46,1.33*Supuestos!$C$5^0.284*MIN(E46,400)^0.588))</f>
        <v>0</v>
      </c>
      <c r="S46" s="7" t="n">
        <f aca="false">Q46+R46+Supuestos!$C$12+Supuestos!$C$13+Supuestos!$C$11-P46-Supuestos!$C$10</f>
        <v>75.308186252628</v>
      </c>
      <c r="T46" s="7" t="n">
        <f aca="false">MCS!$E$5-S46-MCS!$G$5</f>
        <v>45.691813747372</v>
      </c>
      <c r="U46" s="7" t="n">
        <f aca="false">T46-Supuestos!$C$15</f>
        <v>42.691813747372</v>
      </c>
      <c r="V46" s="5" t="n">
        <f aca="false">SUMPRODUCT(--(MCS!$E$5:$E$14-$S46-MCS!$G$5:$G$14&gt;=Supuestos!$C$16))</f>
        <v>9</v>
      </c>
      <c r="W46" s="5" t="n">
        <f aca="false">SUMPRODUCT(--(MCS!$E$5:$E$14-Supuestos!$C$15-$S46-MCS!$G$5:$G$14&gt;=Supuestos!$C$16))</f>
        <v>9</v>
      </c>
      <c r="X46" s="6" t="str">
        <f aca="false">IF(V46=0,"ninguno",INDEX(MCS!$A$5:$A$14,V46))</f>
        <v>256QAM 3/4</v>
      </c>
      <c r="Y46" s="7" t="n">
        <f aca="false">IF(V46=0,0,INDEX(MCS!$F$5:$F$14,V46))</f>
        <v>173.333333333333</v>
      </c>
      <c r="Z46" s="7" t="n">
        <f aca="false">IF(W46=0,0,INDEX(MCS!$F$5:$F$14,W46))</f>
        <v>173.333333333333</v>
      </c>
      <c r="AA46" s="22" t="n">
        <f aca="false">IF(Y46&gt;0,Supuestos!$C$29*Supuestos!$C$30/(Supuestos!$C$17*Y46),0)</f>
        <v>0.00798816568047337</v>
      </c>
      <c r="AB46" s="22" t="n">
        <f aca="false">IF(Z46&gt;0,Supuestos!$C$29*Supuestos!$C$31/(Supuestos!$C$17*Z46),0)</f>
        <v>0.000998520710059172</v>
      </c>
    </row>
    <row r="47" customFormat="false" ht="15" hidden="false" customHeight="false" outlineLevel="0" collapsed="false">
      <c r="A47" s="13" t="n">
        <v>43</v>
      </c>
      <c r="B47" s="17" t="n">
        <v>10.5</v>
      </c>
      <c r="C47" s="18" t="n">
        <v>49.5</v>
      </c>
      <c r="D47" s="18" t="n">
        <v>207.5</v>
      </c>
      <c r="E47" s="19" t="n">
        <v>0</v>
      </c>
      <c r="F47" s="6" t="str">
        <f aca="false">IF(AND(B47&gt;=90,B47&lt;210),"S1",IF(AND(B47&gt;=210,B47&lt;330),"S2","S3"))</f>
        <v>S3</v>
      </c>
      <c r="G47" s="6" t="n">
        <f aca="false">IF(F47="S1",Supuestos!$C$26,IF(F47="S2",Supuestos!$C$27,Supuestos!$C$28))</f>
        <v>30</v>
      </c>
      <c r="H47" s="7" t="n">
        <f aca="false">MOD(B47-G47+180,360)-180</f>
        <v>-19.5</v>
      </c>
      <c r="I47" s="7" t="n">
        <f aca="false">Supuestos!$C$7-(D47-Supuestos!$C$8)-Supuestos!$C$9</f>
        <v>22.5</v>
      </c>
      <c r="J47" s="7" t="n">
        <f aca="false">SQRT(C47^2+I47^2)</f>
        <v>54.3737068811756</v>
      </c>
      <c r="K47" s="20" t="n">
        <f aca="false">DEGREES(ATAN2(C47,I47))</f>
        <v>24.4439547804165</v>
      </c>
      <c r="L47" s="20" t="n">
        <f aca="false">K47-(Supuestos!$C$21+Supuestos!$C$22)</f>
        <v>20.4439547804165</v>
      </c>
      <c r="M47" s="7" t="n">
        <f aca="false">MIN(6*(2*H47/Supuestos!$C$20)^2,Supuestos!$C$24)</f>
        <v>0.486227289679791</v>
      </c>
      <c r="N47" s="21" t="n">
        <f aca="false">PI()*Supuestos!$C$23/Supuestos!$C$6*SIN(RADIANS(L47))</f>
        <v>7.79131217354837</v>
      </c>
      <c r="O47" s="7" t="n">
        <f aca="false">IF(ABS(N47)&lt;0.000000001,0,MIN(-20*LOG10(MAX(ABS(SIN(N47)/N47),0.000001)),Supuestos!$C$25))</f>
        <v>17.8492800346601</v>
      </c>
      <c r="P47" s="7" t="n">
        <f aca="false">Supuestos!$C$19-M47-O47</f>
        <v>-2.83550732433986</v>
      </c>
      <c r="Q47" s="7" t="n">
        <f aca="false">32.44+20*LOG10(J47/1000)+20*LOG10(Supuestos!$C$5*1000)</f>
        <v>82.41633870461</v>
      </c>
      <c r="R47" s="7" t="n">
        <f aca="false">IF(E47&lt;=0,0,IF(E47&lt;=14,0.45*Supuestos!$C$5^0.284*E47,1.33*Supuestos!$C$5^0.284*MIN(E47,400)^0.588))</f>
        <v>0</v>
      </c>
      <c r="S47" s="7" t="n">
        <f aca="false">Q47+R47+Supuestos!$C$12+Supuestos!$C$13+Supuestos!$C$11-P47-Supuestos!$C$10</f>
        <v>64.0518460289498</v>
      </c>
      <c r="T47" s="7" t="n">
        <f aca="false">MCS!$E$5-S47-MCS!$G$5</f>
        <v>56.9481539710502</v>
      </c>
      <c r="U47" s="7" t="n">
        <f aca="false">T47-Supuestos!$C$15</f>
        <v>53.9481539710502</v>
      </c>
      <c r="V47" s="5" t="n">
        <f aca="false">SUMPRODUCT(--(MCS!$E$5:$E$14-$S47-MCS!$G$5:$G$14&gt;=Supuestos!$C$16))</f>
        <v>10</v>
      </c>
      <c r="W47" s="5" t="n">
        <f aca="false">SUMPRODUCT(--(MCS!$E$5:$E$14-Supuestos!$C$15-$S47-MCS!$G$5:$G$14&gt;=Supuestos!$C$16))</f>
        <v>10</v>
      </c>
      <c r="X47" s="6" t="str">
        <f aca="false">IF(V47=0,"ninguno",INDEX(MCS!$A$5:$A$14,V47))</f>
        <v>256QAM 5/6</v>
      </c>
      <c r="Y47" s="7" t="n">
        <f aca="false">IF(V47=0,0,INDEX(MCS!$F$5:$F$14,V47))</f>
        <v>192.592592592593</v>
      </c>
      <c r="Z47" s="7" t="n">
        <f aca="false">IF(W47=0,0,INDEX(MCS!$F$5:$F$14,W47))</f>
        <v>192.592592592593</v>
      </c>
      <c r="AA47" s="22" t="n">
        <f aca="false">IF(Y47&gt;0,Supuestos!$C$29*Supuestos!$C$30/(Supuestos!$C$17*Y47),0)</f>
        <v>0.00718934911242604</v>
      </c>
      <c r="AB47" s="22" t="n">
        <f aca="false">IF(Z47&gt;0,Supuestos!$C$29*Supuestos!$C$31/(Supuestos!$C$17*Z47),0)</f>
        <v>0.000898668639053254</v>
      </c>
    </row>
    <row r="48" customFormat="false" ht="15" hidden="false" customHeight="false" outlineLevel="0" collapsed="false">
      <c r="A48" s="13" t="n">
        <v>44</v>
      </c>
      <c r="B48" s="17" t="n">
        <v>8.9</v>
      </c>
      <c r="C48" s="18" t="n">
        <v>88.9</v>
      </c>
      <c r="D48" s="18" t="n">
        <v>208.6</v>
      </c>
      <c r="E48" s="19" t="n">
        <v>3</v>
      </c>
      <c r="F48" s="6" t="str">
        <f aca="false">IF(AND(B48&gt;=90,B48&lt;210),"S1",IF(AND(B48&gt;=210,B48&lt;330),"S2","S3"))</f>
        <v>S3</v>
      </c>
      <c r="G48" s="6" t="n">
        <f aca="false">IF(F48="S1",Supuestos!$C$26,IF(F48="S2",Supuestos!$C$27,Supuestos!$C$28))</f>
        <v>30</v>
      </c>
      <c r="H48" s="7" t="n">
        <f aca="false">MOD(B48-G48+180,360)-180</f>
        <v>-21.1</v>
      </c>
      <c r="I48" s="7" t="n">
        <f aca="false">Supuestos!$C$7-(D48-Supuestos!$C$8)-Supuestos!$C$9</f>
        <v>21.4</v>
      </c>
      <c r="J48" s="7" t="n">
        <f aca="false">SQRT(C48^2+I48^2)</f>
        <v>91.4394335065567</v>
      </c>
      <c r="K48" s="20" t="n">
        <f aca="false">DEGREES(ATAN2(C48,I48))</f>
        <v>13.5347282329701</v>
      </c>
      <c r="L48" s="20" t="n">
        <f aca="false">K48-(Supuestos!$C$21+Supuestos!$C$22)</f>
        <v>9.53472823297008</v>
      </c>
      <c r="M48" s="7" t="n">
        <f aca="false">MIN(6*(2*H48/Supuestos!$C$20)^2,Supuestos!$C$24)</f>
        <v>0.569291917523576</v>
      </c>
      <c r="N48" s="21" t="n">
        <f aca="false">PI()*Supuestos!$C$23/Supuestos!$C$6*SIN(RADIANS(L48))</f>
        <v>3.6948989704707</v>
      </c>
      <c r="O48" s="7" t="n">
        <f aca="false">IF(ABS(N48)&lt;0.000000001,0,MIN(-20*LOG10(MAX(ABS(SIN(N48)/N48),0.000001)),Supuestos!$C$25))</f>
        <v>16.9405459930534</v>
      </c>
      <c r="P48" s="7" t="n">
        <f aca="false">Supuestos!$C$19-M48-O48</f>
        <v>-2.00983791057699</v>
      </c>
      <c r="Q48" s="7" t="n">
        <f aca="false">32.44+20*LOG10(J48/1000)+20*LOG10(Supuestos!$C$5*1000)</f>
        <v>86.9312304075994</v>
      </c>
      <c r="R48" s="7" t="n">
        <f aca="false">IF(E48&lt;=0,0,IF(E48&lt;=14,0.45*Supuestos!$C$5^0.284*E48,1.33*Supuestos!$C$5^0.284*MIN(E48,400)^0.588))</f>
        <v>2.22406419590114</v>
      </c>
      <c r="S48" s="7" t="n">
        <f aca="false">Q48+R48+Supuestos!$C$12+Supuestos!$C$13+Supuestos!$C$11-P48-Supuestos!$C$10</f>
        <v>69.9651325140775</v>
      </c>
      <c r="T48" s="7" t="n">
        <f aca="false">MCS!$E$5-S48-MCS!$G$5</f>
        <v>51.0348674859225</v>
      </c>
      <c r="U48" s="7" t="n">
        <f aca="false">T48-Supuestos!$C$15</f>
        <v>48.0348674859225</v>
      </c>
      <c r="V48" s="5" t="n">
        <f aca="false">SUMPRODUCT(--(MCS!$E$5:$E$14-$S48-MCS!$G$5:$G$14&gt;=Supuestos!$C$16))</f>
        <v>10</v>
      </c>
      <c r="W48" s="5" t="n">
        <f aca="false">SUMPRODUCT(--(MCS!$E$5:$E$14-Supuestos!$C$15-$S48-MCS!$G$5:$G$14&gt;=Supuestos!$C$16))</f>
        <v>10</v>
      </c>
      <c r="X48" s="6" t="str">
        <f aca="false">IF(V48=0,"ninguno",INDEX(MCS!$A$5:$A$14,V48))</f>
        <v>256QAM 5/6</v>
      </c>
      <c r="Y48" s="7" t="n">
        <f aca="false">IF(V48=0,0,INDEX(MCS!$F$5:$F$14,V48))</f>
        <v>192.592592592593</v>
      </c>
      <c r="Z48" s="7" t="n">
        <f aca="false">IF(W48=0,0,INDEX(MCS!$F$5:$F$14,W48))</f>
        <v>192.592592592593</v>
      </c>
      <c r="AA48" s="22" t="n">
        <f aca="false">IF(Y48&gt;0,Supuestos!$C$29*Supuestos!$C$30/(Supuestos!$C$17*Y48),0)</f>
        <v>0.00718934911242604</v>
      </c>
      <c r="AB48" s="22" t="n">
        <f aca="false">IF(Z48&gt;0,Supuestos!$C$29*Supuestos!$C$31/(Supuestos!$C$17*Z48),0)</f>
        <v>0.000898668639053254</v>
      </c>
    </row>
    <row r="49" customFormat="false" ht="15" hidden="false" customHeight="false" outlineLevel="0" collapsed="false">
      <c r="A49" s="13" t="n">
        <v>45</v>
      </c>
      <c r="B49" s="17" t="n">
        <v>8.2</v>
      </c>
      <c r="C49" s="18" t="n">
        <v>109.2</v>
      </c>
      <c r="D49" s="18" t="n">
        <v>209.2</v>
      </c>
      <c r="E49" s="19" t="n">
        <v>0</v>
      </c>
      <c r="F49" s="6" t="str">
        <f aca="false">IF(AND(B49&gt;=90,B49&lt;210),"S1",IF(AND(B49&gt;=210,B49&lt;330),"S2","S3"))</f>
        <v>S3</v>
      </c>
      <c r="G49" s="6" t="n">
        <f aca="false">IF(F49="S1",Supuestos!$C$26,IF(F49="S2",Supuestos!$C$27,Supuestos!$C$28))</f>
        <v>30</v>
      </c>
      <c r="H49" s="7" t="n">
        <f aca="false">MOD(B49-G49+180,360)-180</f>
        <v>-21.8</v>
      </c>
      <c r="I49" s="7" t="n">
        <f aca="false">Supuestos!$C$7-(D49-Supuestos!$C$8)-Supuestos!$C$9</f>
        <v>20.8</v>
      </c>
      <c r="J49" s="7" t="n">
        <f aca="false">SQRT(C49^2+I49^2)</f>
        <v>111.163303297446</v>
      </c>
      <c r="K49" s="20" t="n">
        <f aca="false">DEGREES(ATAN2(C49,I49))</f>
        <v>10.7842978675626</v>
      </c>
      <c r="L49" s="20" t="n">
        <f aca="false">K49-(Supuestos!$C$21+Supuestos!$C$22)</f>
        <v>6.78429786756261</v>
      </c>
      <c r="M49" s="7" t="n">
        <f aca="false">MIN(6*(2*H49/Supuestos!$C$20)^2,Supuestos!$C$24)</f>
        <v>0.607691406041878</v>
      </c>
      <c r="N49" s="21" t="n">
        <f aca="false">PI()*Supuestos!$C$23/Supuestos!$C$6*SIN(RADIANS(L49))</f>
        <v>2.63505805504236</v>
      </c>
      <c r="O49" s="7" t="n">
        <f aca="false">IF(ABS(N49)&lt;0.000000001,0,MIN(-20*LOG10(MAX(ABS(SIN(N49)/N49),0.000001)),Supuestos!$C$25))</f>
        <v>14.6982846272326</v>
      </c>
      <c r="P49" s="7" t="n">
        <f aca="false">Supuestos!$C$19-M49-O49</f>
        <v>0.19402396672557</v>
      </c>
      <c r="Q49" s="7" t="n">
        <f aca="false">32.44+20*LOG10(J49/1000)+20*LOG10(Supuestos!$C$5*1000)</f>
        <v>88.6277887446532</v>
      </c>
      <c r="R49" s="7" t="n">
        <f aca="false">IF(E49&lt;=0,0,IF(E49&lt;=14,0.45*Supuestos!$C$5^0.284*E49,1.33*Supuestos!$C$5^0.284*MIN(E49,400)^0.588))</f>
        <v>0</v>
      </c>
      <c r="S49" s="7" t="n">
        <f aca="false">Q49+R49+Supuestos!$C$12+Supuestos!$C$13+Supuestos!$C$11-P49-Supuestos!$C$10</f>
        <v>67.2337647779277</v>
      </c>
      <c r="T49" s="7" t="n">
        <f aca="false">MCS!$E$5-S49-MCS!$G$5</f>
        <v>53.7662352220723</v>
      </c>
      <c r="U49" s="7" t="n">
        <f aca="false">T49-Supuestos!$C$15</f>
        <v>50.7662352220723</v>
      </c>
      <c r="V49" s="5" t="n">
        <f aca="false">SUMPRODUCT(--(MCS!$E$5:$E$14-$S49-MCS!$G$5:$G$14&gt;=Supuestos!$C$16))</f>
        <v>10</v>
      </c>
      <c r="W49" s="5" t="n">
        <f aca="false">SUMPRODUCT(--(MCS!$E$5:$E$14-Supuestos!$C$15-$S49-MCS!$G$5:$G$14&gt;=Supuestos!$C$16))</f>
        <v>10</v>
      </c>
      <c r="X49" s="6" t="str">
        <f aca="false">IF(V49=0,"ninguno",INDEX(MCS!$A$5:$A$14,V49))</f>
        <v>256QAM 5/6</v>
      </c>
      <c r="Y49" s="7" t="n">
        <f aca="false">IF(V49=0,0,INDEX(MCS!$F$5:$F$14,V49))</f>
        <v>192.592592592593</v>
      </c>
      <c r="Z49" s="7" t="n">
        <f aca="false">IF(W49=0,0,INDEX(MCS!$F$5:$F$14,W49))</f>
        <v>192.592592592593</v>
      </c>
      <c r="AA49" s="22" t="n">
        <f aca="false">IF(Y49&gt;0,Supuestos!$C$29*Supuestos!$C$30/(Supuestos!$C$17*Y49),0)</f>
        <v>0.00718934911242604</v>
      </c>
      <c r="AB49" s="22" t="n">
        <f aca="false">IF(Z49&gt;0,Supuestos!$C$29*Supuestos!$C$31/(Supuestos!$C$17*Z49),0)</f>
        <v>0.000898668639053254</v>
      </c>
    </row>
    <row r="50" customFormat="false" ht="15" hidden="false" customHeight="false" outlineLevel="0" collapsed="false">
      <c r="A50" s="13" t="n">
        <v>46</v>
      </c>
      <c r="B50" s="17" t="n">
        <v>21.1</v>
      </c>
      <c r="C50" s="18" t="n">
        <v>112.2</v>
      </c>
      <c r="D50" s="18" t="n">
        <v>209.6</v>
      </c>
      <c r="E50" s="19" t="n">
        <v>0</v>
      </c>
      <c r="F50" s="6" t="str">
        <f aca="false">IF(AND(B50&gt;=90,B50&lt;210),"S1",IF(AND(B50&gt;=210,B50&lt;330),"S2","S3"))</f>
        <v>S3</v>
      </c>
      <c r="G50" s="6" t="n">
        <f aca="false">IF(F50="S1",Supuestos!$C$26,IF(F50="S2",Supuestos!$C$27,Supuestos!$C$28))</f>
        <v>30</v>
      </c>
      <c r="H50" s="7" t="n">
        <f aca="false">MOD(B50-G50+180,360)-180</f>
        <v>-8.90000000000001</v>
      </c>
      <c r="I50" s="7" t="n">
        <f aca="false">Supuestos!$C$7-(D50-Supuestos!$C$8)-Supuestos!$C$9</f>
        <v>20.4</v>
      </c>
      <c r="J50" s="7" t="n">
        <f aca="false">SQRT(C50^2+I50^2)</f>
        <v>114.039466852489</v>
      </c>
      <c r="K50" s="20" t="n">
        <f aca="false">DEGREES(ATAN2(C50,I50))</f>
        <v>10.304846468766</v>
      </c>
      <c r="L50" s="20" t="n">
        <f aca="false">K50-(Supuestos!$C$21+Supuestos!$C$22)</f>
        <v>6.30484646876603</v>
      </c>
      <c r="M50" s="7" t="n">
        <f aca="false">MIN(6*(2*H50/Supuestos!$C$20)^2,Supuestos!$C$24)</f>
        <v>0.101286163354468</v>
      </c>
      <c r="N50" s="21" t="n">
        <f aca="false">PI()*Supuestos!$C$23/Supuestos!$C$6*SIN(RADIANS(L50))</f>
        <v>2.44961756227289</v>
      </c>
      <c r="O50" s="7" t="n">
        <f aca="false">IF(ABS(N50)&lt;0.000000001,0,MIN(-20*LOG10(MAX(ABS(SIN(N50)/N50),0.000001)),Supuestos!$C$25))</f>
        <v>11.6847459538343</v>
      </c>
      <c r="P50" s="7" t="n">
        <f aca="false">Supuestos!$C$19-M50-O50</f>
        <v>3.71396788281122</v>
      </c>
      <c r="Q50" s="7" t="n">
        <f aca="false">32.44+20*LOG10(J50/1000)+20*LOG10(Supuestos!$C$5*1000)</f>
        <v>88.8496634365777</v>
      </c>
      <c r="R50" s="7" t="n">
        <f aca="false">IF(E50&lt;=0,0,IF(E50&lt;=14,0.45*Supuestos!$C$5^0.284*E50,1.33*Supuestos!$C$5^0.284*MIN(E50,400)^0.588))</f>
        <v>0</v>
      </c>
      <c r="S50" s="7" t="n">
        <f aca="false">Q50+R50+Supuestos!$C$12+Supuestos!$C$13+Supuestos!$C$11-P50-Supuestos!$C$10</f>
        <v>63.9356955537664</v>
      </c>
      <c r="T50" s="7" t="n">
        <f aca="false">MCS!$E$5-S50-MCS!$G$5</f>
        <v>57.0643044462336</v>
      </c>
      <c r="U50" s="7" t="n">
        <f aca="false">T50-Supuestos!$C$15</f>
        <v>54.0643044462336</v>
      </c>
      <c r="V50" s="5" t="n">
        <f aca="false">SUMPRODUCT(--(MCS!$E$5:$E$14-$S50-MCS!$G$5:$G$14&gt;=Supuestos!$C$16))</f>
        <v>10</v>
      </c>
      <c r="W50" s="5" t="n">
        <f aca="false">SUMPRODUCT(--(MCS!$E$5:$E$14-Supuestos!$C$15-$S50-MCS!$G$5:$G$14&gt;=Supuestos!$C$16))</f>
        <v>10</v>
      </c>
      <c r="X50" s="6" t="str">
        <f aca="false">IF(V50=0,"ninguno",INDEX(MCS!$A$5:$A$14,V50))</f>
        <v>256QAM 5/6</v>
      </c>
      <c r="Y50" s="7" t="n">
        <f aca="false">IF(V50=0,0,INDEX(MCS!$F$5:$F$14,V50))</f>
        <v>192.592592592593</v>
      </c>
      <c r="Z50" s="7" t="n">
        <f aca="false">IF(W50=0,0,INDEX(MCS!$F$5:$F$14,W50))</f>
        <v>192.592592592593</v>
      </c>
      <c r="AA50" s="22" t="n">
        <f aca="false">IF(Y50&gt;0,Supuestos!$C$29*Supuestos!$C$30/(Supuestos!$C$17*Y50),0)</f>
        <v>0.00718934911242604</v>
      </c>
      <c r="AB50" s="22" t="n">
        <f aca="false">IF(Z50&gt;0,Supuestos!$C$29*Supuestos!$C$31/(Supuestos!$C$17*Z50),0)</f>
        <v>0.000898668639053254</v>
      </c>
    </row>
    <row r="51" customFormat="false" ht="15" hidden="false" customHeight="false" outlineLevel="0" collapsed="false">
      <c r="A51" s="13" t="n">
        <v>47</v>
      </c>
      <c r="B51" s="17" t="n">
        <v>26.6</v>
      </c>
      <c r="C51" s="18" t="n">
        <v>103.5</v>
      </c>
      <c r="D51" s="18" t="n">
        <v>209.3</v>
      </c>
      <c r="E51" s="19" t="n">
        <v>0</v>
      </c>
      <c r="F51" s="6" t="str">
        <f aca="false">IF(AND(B51&gt;=90,B51&lt;210),"S1",IF(AND(B51&gt;=210,B51&lt;330),"S2","S3"))</f>
        <v>S3</v>
      </c>
      <c r="G51" s="6" t="n">
        <f aca="false">IF(F51="S1",Supuestos!$C$26,IF(F51="S2",Supuestos!$C$27,Supuestos!$C$28))</f>
        <v>30</v>
      </c>
      <c r="H51" s="7" t="n">
        <f aca="false">MOD(B51-G51+180,360)-180</f>
        <v>-3.40000000000001</v>
      </c>
      <c r="I51" s="7" t="n">
        <f aca="false">Supuestos!$C$7-(D51-Supuestos!$C$8)-Supuestos!$C$9</f>
        <v>20.7</v>
      </c>
      <c r="J51" s="7" t="n">
        <f aca="false">SQRT(C51^2+I51^2)</f>
        <v>105.549703931371</v>
      </c>
      <c r="K51" s="20" t="n">
        <f aca="false">DEGREES(ATAN2(C51,I51))</f>
        <v>11.3099324740202</v>
      </c>
      <c r="L51" s="20" t="n">
        <f aca="false">K51-(Supuestos!$C$21+Supuestos!$C$22)</f>
        <v>7.30993247402021</v>
      </c>
      <c r="M51" s="7" t="n">
        <f aca="false">MIN(6*(2*H51/Supuestos!$C$20)^2,Supuestos!$C$24)</f>
        <v>0.0147818210879642</v>
      </c>
      <c r="N51" s="21" t="n">
        <f aca="false">PI()*Supuestos!$C$23/Supuestos!$C$6*SIN(RADIANS(L51))</f>
        <v>2.8381486134195</v>
      </c>
      <c r="O51" s="7" t="n">
        <f aca="false">IF(ABS(N51)&lt;0.000000001,0,MIN(-20*LOG10(MAX(ABS(SIN(N51)/N51),0.000001)),Supuestos!$C$25))</f>
        <v>19.5528389146563</v>
      </c>
      <c r="P51" s="7" t="n">
        <f aca="false">Supuestos!$C$19-M51-O51</f>
        <v>-4.06762073574429</v>
      </c>
      <c r="Q51" s="7" t="n">
        <f aca="false">32.44+20*LOG10(J51/1000)+20*LOG10(Supuestos!$C$5*1000)</f>
        <v>88.1777002601053</v>
      </c>
      <c r="R51" s="7" t="n">
        <f aca="false">IF(E51&lt;=0,0,IF(E51&lt;=14,0.45*Supuestos!$C$5^0.284*E51,1.33*Supuestos!$C$5^0.284*MIN(E51,400)^0.588))</f>
        <v>0</v>
      </c>
      <c r="S51" s="7" t="n">
        <f aca="false">Q51+R51+Supuestos!$C$12+Supuestos!$C$13+Supuestos!$C$11-P51-Supuestos!$C$10</f>
        <v>71.0453209958496</v>
      </c>
      <c r="T51" s="7" t="n">
        <f aca="false">MCS!$E$5-S51-MCS!$G$5</f>
        <v>49.9546790041505</v>
      </c>
      <c r="U51" s="7" t="n">
        <f aca="false">T51-Supuestos!$C$15</f>
        <v>46.9546790041505</v>
      </c>
      <c r="V51" s="5" t="n">
        <f aca="false">SUMPRODUCT(--(MCS!$E$5:$E$14-$S51-MCS!$G$5:$G$14&gt;=Supuestos!$C$16))</f>
        <v>10</v>
      </c>
      <c r="W51" s="5" t="n">
        <f aca="false">SUMPRODUCT(--(MCS!$E$5:$E$14-Supuestos!$C$15-$S51-MCS!$G$5:$G$14&gt;=Supuestos!$C$16))</f>
        <v>9</v>
      </c>
      <c r="X51" s="6" t="str">
        <f aca="false">IF(V51=0,"ninguno",INDEX(MCS!$A$5:$A$14,V51))</f>
        <v>256QAM 5/6</v>
      </c>
      <c r="Y51" s="7" t="n">
        <f aca="false">IF(V51=0,0,INDEX(MCS!$F$5:$F$14,V51))</f>
        <v>192.592592592593</v>
      </c>
      <c r="Z51" s="7" t="n">
        <f aca="false">IF(W51=0,0,INDEX(MCS!$F$5:$F$14,W51))</f>
        <v>173.333333333333</v>
      </c>
      <c r="AA51" s="22" t="n">
        <f aca="false">IF(Y51&gt;0,Supuestos!$C$29*Supuestos!$C$30/(Supuestos!$C$17*Y51),0)</f>
        <v>0.00718934911242604</v>
      </c>
      <c r="AB51" s="22" t="n">
        <f aca="false">IF(Z51&gt;0,Supuestos!$C$29*Supuestos!$C$31/(Supuestos!$C$17*Z51),0)</f>
        <v>0.000998520710059172</v>
      </c>
    </row>
    <row r="52" customFormat="false" ht="15" hidden="false" customHeight="false" outlineLevel="0" collapsed="false">
      <c r="A52" s="13" t="n">
        <v>48</v>
      </c>
      <c r="B52" s="17" t="n">
        <v>29</v>
      </c>
      <c r="C52" s="18" t="n">
        <v>90.4</v>
      </c>
      <c r="D52" s="18" t="n">
        <v>208.9</v>
      </c>
      <c r="E52" s="19" t="n">
        <v>0</v>
      </c>
      <c r="F52" s="6" t="str">
        <f aca="false">IF(AND(B52&gt;=90,B52&lt;210),"S1",IF(AND(B52&gt;=210,B52&lt;330),"S2","S3"))</f>
        <v>S3</v>
      </c>
      <c r="G52" s="6" t="n">
        <f aca="false">IF(F52="S1",Supuestos!$C$26,IF(F52="S2",Supuestos!$C$27,Supuestos!$C$28))</f>
        <v>30</v>
      </c>
      <c r="H52" s="7" t="n">
        <f aca="false">MOD(B52-G52+180,360)-180</f>
        <v>-1</v>
      </c>
      <c r="I52" s="7" t="n">
        <f aca="false">Supuestos!$C$7-(D52-Supuestos!$C$8)-Supuestos!$C$9</f>
        <v>21.1</v>
      </c>
      <c r="J52" s="7" t="n">
        <f aca="false">SQRT(C52^2+I52^2)</f>
        <v>92.82979047698</v>
      </c>
      <c r="K52" s="20" t="n">
        <f aca="false">DEGREES(ATAN2(C52,I52))</f>
        <v>13.1380294245849</v>
      </c>
      <c r="L52" s="20" t="n">
        <f aca="false">K52-(Supuestos!$C$21+Supuestos!$C$22)</f>
        <v>9.13802942458492</v>
      </c>
      <c r="M52" s="7" t="n">
        <f aca="false">MIN(6*(2*H52/Supuestos!$C$20)^2,Supuestos!$C$24)</f>
        <v>0.00127870424636368</v>
      </c>
      <c r="N52" s="21" t="n">
        <f aca="false">PI()*Supuestos!$C$23/Supuestos!$C$6*SIN(RADIANS(L52))</f>
        <v>3.54250455951031</v>
      </c>
      <c r="O52" s="7" t="n">
        <f aca="false">IF(ABS(N52)&lt;0.000000001,0,MIN(-20*LOG10(MAX(ABS(SIN(N52)/N52),0.000001)),Supuestos!$C$25))</f>
        <v>19.1591698135471</v>
      </c>
      <c r="P52" s="7" t="n">
        <f aca="false">Supuestos!$C$19-M52-O52</f>
        <v>-3.66044851779342</v>
      </c>
      <c r="Q52" s="7" t="n">
        <f aca="false">32.44+20*LOG10(J52/1000)+20*LOG10(Supuestos!$C$5*1000)</f>
        <v>87.0623072757157</v>
      </c>
      <c r="R52" s="7" t="n">
        <f aca="false">IF(E52&lt;=0,0,IF(E52&lt;=14,0.45*Supuestos!$C$5^0.284*E52,1.33*Supuestos!$C$5^0.284*MIN(E52,400)^0.588))</f>
        <v>0</v>
      </c>
      <c r="S52" s="7" t="n">
        <f aca="false">Q52+R52+Supuestos!$C$12+Supuestos!$C$13+Supuestos!$C$11-P52-Supuestos!$C$10</f>
        <v>69.5227557935091</v>
      </c>
      <c r="T52" s="7" t="n">
        <f aca="false">MCS!$E$5-S52-MCS!$G$5</f>
        <v>51.4772442064909</v>
      </c>
      <c r="U52" s="7" t="n">
        <f aca="false">T52-Supuestos!$C$15</f>
        <v>48.4772442064909</v>
      </c>
      <c r="V52" s="5" t="n">
        <f aca="false">SUMPRODUCT(--(MCS!$E$5:$E$14-$S52-MCS!$G$5:$G$14&gt;=Supuestos!$C$16))</f>
        <v>10</v>
      </c>
      <c r="W52" s="5" t="n">
        <f aca="false">SUMPRODUCT(--(MCS!$E$5:$E$14-Supuestos!$C$15-$S52-MCS!$G$5:$G$14&gt;=Supuestos!$C$16))</f>
        <v>10</v>
      </c>
      <c r="X52" s="6" t="str">
        <f aca="false">IF(V52=0,"ninguno",INDEX(MCS!$A$5:$A$14,V52))</f>
        <v>256QAM 5/6</v>
      </c>
      <c r="Y52" s="7" t="n">
        <f aca="false">IF(V52=0,0,INDEX(MCS!$F$5:$F$14,V52))</f>
        <v>192.592592592593</v>
      </c>
      <c r="Z52" s="7" t="n">
        <f aca="false">IF(W52=0,0,INDEX(MCS!$F$5:$F$14,W52))</f>
        <v>192.592592592593</v>
      </c>
      <c r="AA52" s="22" t="n">
        <f aca="false">IF(Y52&gt;0,Supuestos!$C$29*Supuestos!$C$30/(Supuestos!$C$17*Y52),0)</f>
        <v>0.00718934911242604</v>
      </c>
      <c r="AB52" s="22" t="n">
        <f aca="false">IF(Z52&gt;0,Supuestos!$C$29*Supuestos!$C$31/(Supuestos!$C$17*Z52),0)</f>
        <v>0.000898668639053254</v>
      </c>
    </row>
    <row r="53" customFormat="false" ht="15" hidden="false" customHeight="false" outlineLevel="0" collapsed="false">
      <c r="A53" s="13" t="n">
        <v>49</v>
      </c>
      <c r="B53" s="17" t="n">
        <v>45.3</v>
      </c>
      <c r="C53" s="18" t="n">
        <v>93.3</v>
      </c>
      <c r="D53" s="18" t="n">
        <v>209.5</v>
      </c>
      <c r="E53" s="19" t="n">
        <v>0</v>
      </c>
      <c r="F53" s="6" t="str">
        <f aca="false">IF(AND(B53&gt;=90,B53&lt;210),"S1",IF(AND(B53&gt;=210,B53&lt;330),"S2","S3"))</f>
        <v>S3</v>
      </c>
      <c r="G53" s="6" t="n">
        <f aca="false">IF(F53="S1",Supuestos!$C$26,IF(F53="S2",Supuestos!$C$27,Supuestos!$C$28))</f>
        <v>30</v>
      </c>
      <c r="H53" s="7" t="n">
        <f aca="false">MOD(B53-G53+180,360)-180</f>
        <v>15.3</v>
      </c>
      <c r="I53" s="7" t="n">
        <f aca="false">Supuestos!$C$7-(D53-Supuestos!$C$8)-Supuestos!$C$9</f>
        <v>20.5</v>
      </c>
      <c r="J53" s="7" t="n">
        <f aca="false">SQRT(C53^2+I53^2)</f>
        <v>95.5255986633949</v>
      </c>
      <c r="K53" s="20" t="n">
        <f aca="false">DEGREES(ATAN2(C53,I53))</f>
        <v>12.3921880782416</v>
      </c>
      <c r="L53" s="20" t="n">
        <f aca="false">K53-(Supuestos!$C$21+Supuestos!$C$22)</f>
        <v>8.39218807824164</v>
      </c>
      <c r="M53" s="7" t="n">
        <f aca="false">MIN(6*(2*H53/Supuestos!$C$20)^2,Supuestos!$C$24)</f>
        <v>0.299331877031275</v>
      </c>
      <c r="N53" s="21" t="n">
        <f aca="false">PI()*Supuestos!$C$23/Supuestos!$C$6*SIN(RADIANS(L53))</f>
        <v>3.2555308138491</v>
      </c>
      <c r="O53" s="7" t="n">
        <f aca="false">IF(ABS(N53)&lt;0.000000001,0,MIN(-20*LOG10(MAX(ABS(SIN(N53)/N53),0.000001)),Supuestos!$C$25))</f>
        <v>25</v>
      </c>
      <c r="P53" s="7" t="n">
        <f aca="false">Supuestos!$C$19-M53-O53</f>
        <v>-9.79933187703128</v>
      </c>
      <c r="Q53" s="7" t="n">
        <f aca="false">32.44+20*LOG10(J53/1000)+20*LOG10(Supuestos!$C$5*1000)</f>
        <v>87.3109552335149</v>
      </c>
      <c r="R53" s="7" t="n">
        <f aca="false">IF(E53&lt;=0,0,IF(E53&lt;=14,0.45*Supuestos!$C$5^0.284*E53,1.33*Supuestos!$C$5^0.284*MIN(E53,400)^0.588))</f>
        <v>0</v>
      </c>
      <c r="S53" s="7" t="n">
        <f aca="false">Q53+R53+Supuestos!$C$12+Supuestos!$C$13+Supuestos!$C$11-P53-Supuestos!$C$10</f>
        <v>75.9102871105462</v>
      </c>
      <c r="T53" s="7" t="n">
        <f aca="false">MCS!$E$5-S53-MCS!$G$5</f>
        <v>45.0897128894539</v>
      </c>
      <c r="U53" s="7" t="n">
        <f aca="false">T53-Supuestos!$C$15</f>
        <v>42.0897128894539</v>
      </c>
      <c r="V53" s="5" t="n">
        <f aca="false">SUMPRODUCT(--(MCS!$E$5:$E$14-$S53-MCS!$G$5:$G$14&gt;=Supuestos!$C$16))</f>
        <v>9</v>
      </c>
      <c r="W53" s="5" t="n">
        <f aca="false">SUMPRODUCT(--(MCS!$E$5:$E$14-Supuestos!$C$15-$S53-MCS!$G$5:$G$14&gt;=Supuestos!$C$16))</f>
        <v>9</v>
      </c>
      <c r="X53" s="6" t="str">
        <f aca="false">IF(V53=0,"ninguno",INDEX(MCS!$A$5:$A$14,V53))</f>
        <v>256QAM 3/4</v>
      </c>
      <c r="Y53" s="7" t="n">
        <f aca="false">IF(V53=0,0,INDEX(MCS!$F$5:$F$14,V53))</f>
        <v>173.333333333333</v>
      </c>
      <c r="Z53" s="7" t="n">
        <f aca="false">IF(W53=0,0,INDEX(MCS!$F$5:$F$14,W53))</f>
        <v>173.333333333333</v>
      </c>
      <c r="AA53" s="22" t="n">
        <f aca="false">IF(Y53&gt;0,Supuestos!$C$29*Supuestos!$C$30/(Supuestos!$C$17*Y53),0)</f>
        <v>0.00798816568047337</v>
      </c>
      <c r="AB53" s="22" t="n">
        <f aca="false">IF(Z53&gt;0,Supuestos!$C$29*Supuestos!$C$31/(Supuestos!$C$17*Z53),0)</f>
        <v>0.000998520710059172</v>
      </c>
    </row>
    <row r="54" customFormat="false" ht="15" hidden="false" customHeight="false" outlineLevel="0" collapsed="false">
      <c r="A54" s="13" t="n">
        <v>50</v>
      </c>
      <c r="B54" s="17" t="n">
        <v>79.9</v>
      </c>
      <c r="C54" s="18" t="n">
        <v>71</v>
      </c>
      <c r="D54" s="18" t="n">
        <v>208.8</v>
      </c>
      <c r="E54" s="19" t="n">
        <v>0</v>
      </c>
      <c r="F54" s="6" t="str">
        <f aca="false">IF(AND(B54&gt;=90,B54&lt;210),"S1",IF(AND(B54&gt;=210,B54&lt;330),"S2","S3"))</f>
        <v>S3</v>
      </c>
      <c r="G54" s="6" t="n">
        <f aca="false">IF(F54="S1",Supuestos!$C$26,IF(F54="S2",Supuestos!$C$27,Supuestos!$C$28))</f>
        <v>30</v>
      </c>
      <c r="H54" s="7" t="n">
        <f aca="false">MOD(B54-G54+180,360)-180</f>
        <v>49.9</v>
      </c>
      <c r="I54" s="7" t="n">
        <f aca="false">Supuestos!$C$7-(D54-Supuestos!$C$8)-Supuestos!$C$9</f>
        <v>21.2</v>
      </c>
      <c r="J54" s="7" t="n">
        <f aca="false">SQRT(C54^2+I54^2)</f>
        <v>74.0975033317588</v>
      </c>
      <c r="K54" s="20" t="n">
        <f aca="false">DEGREES(ATAN2(C54,I54))</f>
        <v>16.6251804444382</v>
      </c>
      <c r="L54" s="20" t="n">
        <f aca="false">K54-(Supuestos!$C$21+Supuestos!$C$22)</f>
        <v>12.6251804444382</v>
      </c>
      <c r="M54" s="7" t="n">
        <f aca="false">MIN(6*(2*H54/Supuestos!$C$20)^2,Supuestos!$C$24)</f>
        <v>3.18398636048804</v>
      </c>
      <c r="N54" s="21" t="n">
        <f aca="false">PI()*Supuestos!$C$23/Supuestos!$C$6*SIN(RADIANS(L54))</f>
        <v>4.87548683338999</v>
      </c>
      <c r="O54" s="7" t="n">
        <f aca="false">IF(ABS(N54)&lt;0.000000001,0,MIN(-20*LOG10(MAX(ABS(SIN(N54)/N54),0.000001)),Supuestos!$C$25))</f>
        <v>13.8764018882475</v>
      </c>
      <c r="P54" s="7" t="n">
        <f aca="false">Supuestos!$C$19-M54-O54</f>
        <v>-1.56038824873549</v>
      </c>
      <c r="Q54" s="7" t="n">
        <f aca="false">32.44+20*LOG10(J54/1000)+20*LOG10(Supuestos!$C$5*1000)</f>
        <v>85.1046313702495</v>
      </c>
      <c r="R54" s="7" t="n">
        <f aca="false">IF(E54&lt;=0,0,IF(E54&lt;=14,0.45*Supuestos!$C$5^0.284*E54,1.33*Supuestos!$C$5^0.284*MIN(E54,400)^0.588))</f>
        <v>0</v>
      </c>
      <c r="S54" s="7" t="n">
        <f aca="false">Q54+R54+Supuestos!$C$12+Supuestos!$C$13+Supuestos!$C$11-P54-Supuestos!$C$10</f>
        <v>65.465019618985</v>
      </c>
      <c r="T54" s="7" t="n">
        <f aca="false">MCS!$E$5-S54-MCS!$G$5</f>
        <v>55.534980381015</v>
      </c>
      <c r="U54" s="7" t="n">
        <f aca="false">T54-Supuestos!$C$15</f>
        <v>52.534980381015</v>
      </c>
      <c r="V54" s="5" t="n">
        <f aca="false">SUMPRODUCT(--(MCS!$E$5:$E$14-$S54-MCS!$G$5:$G$14&gt;=Supuestos!$C$16))</f>
        <v>10</v>
      </c>
      <c r="W54" s="5" t="n">
        <f aca="false">SUMPRODUCT(--(MCS!$E$5:$E$14-Supuestos!$C$15-$S54-MCS!$G$5:$G$14&gt;=Supuestos!$C$16))</f>
        <v>10</v>
      </c>
      <c r="X54" s="6" t="str">
        <f aca="false">IF(V54=0,"ninguno",INDEX(MCS!$A$5:$A$14,V54))</f>
        <v>256QAM 5/6</v>
      </c>
      <c r="Y54" s="7" t="n">
        <f aca="false">IF(V54=0,0,INDEX(MCS!$F$5:$F$14,V54))</f>
        <v>192.592592592593</v>
      </c>
      <c r="Z54" s="7" t="n">
        <f aca="false">IF(W54=0,0,INDEX(MCS!$F$5:$F$14,W54))</f>
        <v>192.592592592593</v>
      </c>
      <c r="AA54" s="22" t="n">
        <f aca="false">IF(Y54&gt;0,Supuestos!$C$29*Supuestos!$C$30/(Supuestos!$C$17*Y54),0)</f>
        <v>0.00718934911242604</v>
      </c>
      <c r="AB54" s="22" t="n">
        <f aca="false">IF(Z54&gt;0,Supuestos!$C$29*Supuestos!$C$31/(Supuestos!$C$17*Z54),0)</f>
        <v>0.000898668639053254</v>
      </c>
    </row>
    <row r="55" customFormat="false" ht="15" hidden="false" customHeight="false" outlineLevel="0" collapsed="false">
      <c r="A55" s="13" t="n">
        <v>51</v>
      </c>
      <c r="B55" s="17" t="n">
        <v>84</v>
      </c>
      <c r="C55" s="18" t="n">
        <v>89.7</v>
      </c>
      <c r="D55" s="18" t="n">
        <v>210.1</v>
      </c>
      <c r="E55" s="19" t="n">
        <v>0</v>
      </c>
      <c r="F55" s="6" t="str">
        <f aca="false">IF(AND(B55&gt;=90,B55&lt;210),"S1",IF(AND(B55&gt;=210,B55&lt;330),"S2","S3"))</f>
        <v>S3</v>
      </c>
      <c r="G55" s="6" t="n">
        <f aca="false">IF(F55="S1",Supuestos!$C$26,IF(F55="S2",Supuestos!$C$27,Supuestos!$C$28))</f>
        <v>30</v>
      </c>
      <c r="H55" s="7" t="n">
        <f aca="false">MOD(B55-G55+180,360)-180</f>
        <v>54</v>
      </c>
      <c r="I55" s="7" t="n">
        <f aca="false">Supuestos!$C$7-(D55-Supuestos!$C$8)-Supuestos!$C$9</f>
        <v>19.9</v>
      </c>
      <c r="J55" s="7" t="n">
        <f aca="false">SQRT(C55^2+I55^2)</f>
        <v>91.8809011710268</v>
      </c>
      <c r="K55" s="20" t="n">
        <f aca="false">DEGREES(ATAN2(C55,I55))</f>
        <v>12.5085164411367</v>
      </c>
      <c r="L55" s="20" t="n">
        <f aca="false">K55-(Supuestos!$C$21+Supuestos!$C$22)</f>
        <v>8.50851644113675</v>
      </c>
      <c r="M55" s="7" t="n">
        <f aca="false">MIN(6*(2*H55/Supuestos!$C$20)^2,Supuestos!$C$24)</f>
        <v>3.72870158239651</v>
      </c>
      <c r="N55" s="21" t="n">
        <f aca="false">PI()*Supuestos!$C$23/Supuestos!$C$6*SIN(RADIANS(L55))</f>
        <v>3.30032745683069</v>
      </c>
      <c r="O55" s="7" t="n">
        <f aca="false">IF(ABS(N55)&lt;0.000000001,0,MIN(-20*LOG10(MAX(ABS(SIN(N55)/N55),0.000001)),Supuestos!$C$25))</f>
        <v>25</v>
      </c>
      <c r="P55" s="7" t="n">
        <f aca="false">Supuestos!$C$19-M55-O55</f>
        <v>-13.2287015823965</v>
      </c>
      <c r="Q55" s="7" t="n">
        <f aca="false">32.44+20*LOG10(J55/1000)+20*LOG10(Supuestos!$C$5*1000)</f>
        <v>86.9730647936395</v>
      </c>
      <c r="R55" s="7" t="n">
        <f aca="false">IF(E55&lt;=0,0,IF(E55&lt;=14,0.45*Supuestos!$C$5^0.284*E55,1.33*Supuestos!$C$5^0.284*MIN(E55,400)^0.588))</f>
        <v>0</v>
      </c>
      <c r="S55" s="7" t="n">
        <f aca="false">Q55+R55+Supuestos!$C$12+Supuestos!$C$13+Supuestos!$C$11-P55-Supuestos!$C$10</f>
        <v>79.001766376036</v>
      </c>
      <c r="T55" s="7" t="n">
        <f aca="false">MCS!$E$5-S55-MCS!$G$5</f>
        <v>41.998233623964</v>
      </c>
      <c r="U55" s="7" t="n">
        <f aca="false">T55-Supuestos!$C$15</f>
        <v>38.998233623964</v>
      </c>
      <c r="V55" s="5" t="n">
        <f aca="false">SUMPRODUCT(--(MCS!$E$5:$E$14-$S55-MCS!$G$5:$G$14&gt;=Supuestos!$C$16))</f>
        <v>9</v>
      </c>
      <c r="W55" s="5" t="n">
        <f aca="false">SUMPRODUCT(--(MCS!$E$5:$E$14-Supuestos!$C$15-$S55-MCS!$G$5:$G$14&gt;=Supuestos!$C$16))</f>
        <v>8</v>
      </c>
      <c r="X55" s="6" t="str">
        <f aca="false">IF(V55=0,"ninguno",INDEX(MCS!$A$5:$A$14,V55))</f>
        <v>256QAM 3/4</v>
      </c>
      <c r="Y55" s="7" t="n">
        <f aca="false">IF(V55=0,0,INDEX(MCS!$F$5:$F$14,V55))</f>
        <v>173.333333333333</v>
      </c>
      <c r="Z55" s="7" t="n">
        <f aca="false">IF(W55=0,0,INDEX(MCS!$F$5:$F$14,W55))</f>
        <v>144.444444444444</v>
      </c>
      <c r="AA55" s="22" t="n">
        <f aca="false">IF(Y55&gt;0,Supuestos!$C$29*Supuestos!$C$30/(Supuestos!$C$17*Y55),0)</f>
        <v>0.00798816568047337</v>
      </c>
      <c r="AB55" s="22" t="n">
        <f aca="false">IF(Z55&gt;0,Supuestos!$C$29*Supuestos!$C$31/(Supuestos!$C$17*Z55),0)</f>
        <v>0.00119822485207101</v>
      </c>
    </row>
    <row r="56" customFormat="false" ht="15" hidden="false" customHeight="false" outlineLevel="0" collapsed="false">
      <c r="A56" s="13" t="n">
        <v>52</v>
      </c>
      <c r="B56" s="17" t="n">
        <v>66</v>
      </c>
      <c r="C56" s="18" t="n">
        <v>104.4</v>
      </c>
      <c r="D56" s="18" t="n">
        <v>211.1</v>
      </c>
      <c r="E56" s="19" t="n">
        <v>0</v>
      </c>
      <c r="F56" s="6" t="str">
        <f aca="false">IF(AND(B56&gt;=90,B56&lt;210),"S1",IF(AND(B56&gt;=210,B56&lt;330),"S2","S3"))</f>
        <v>S3</v>
      </c>
      <c r="G56" s="6" t="n">
        <f aca="false">IF(F56="S1",Supuestos!$C$26,IF(F56="S2",Supuestos!$C$27,Supuestos!$C$28))</f>
        <v>30</v>
      </c>
      <c r="H56" s="7" t="n">
        <f aca="false">MOD(B56-G56+180,360)-180</f>
        <v>36</v>
      </c>
      <c r="I56" s="7" t="n">
        <f aca="false">Supuestos!$C$7-(D56-Supuestos!$C$8)-Supuestos!$C$9</f>
        <v>18.9</v>
      </c>
      <c r="J56" s="7" t="n">
        <f aca="false">SQRT(C56^2+I56^2)</f>
        <v>106.096983934512</v>
      </c>
      <c r="K56" s="20" t="n">
        <f aca="false">DEGREES(ATAN2(C56,I56))</f>
        <v>10.2613747172344</v>
      </c>
      <c r="L56" s="20" t="n">
        <f aca="false">K56-(Supuestos!$C$21+Supuestos!$C$22)</f>
        <v>6.26137471723439</v>
      </c>
      <c r="M56" s="7" t="n">
        <f aca="false">MIN(6*(2*H56/Supuestos!$C$20)^2,Supuestos!$C$24)</f>
        <v>1.65720070328734</v>
      </c>
      <c r="N56" s="21" t="n">
        <f aca="false">PI()*Supuestos!$C$23/Supuestos!$C$6*SIN(RADIANS(L56))</f>
        <v>2.43279503803015</v>
      </c>
      <c r="O56" s="7" t="n">
        <f aca="false">IF(ABS(N56)&lt;0.000000001,0,MIN(-20*LOG10(MAX(ABS(SIN(N56)/N56),0.000001)),Supuestos!$C$25))</f>
        <v>11.4515386621665</v>
      </c>
      <c r="P56" s="7" t="n">
        <f aca="false">Supuestos!$C$19-M56-O56</f>
        <v>2.39126063454615</v>
      </c>
      <c r="Q56" s="7" t="n">
        <f aca="false">32.44+20*LOG10(J56/1000)+20*LOG10(Supuestos!$C$5*1000)</f>
        <v>88.2226206352014</v>
      </c>
      <c r="R56" s="7" t="n">
        <f aca="false">IF(E56&lt;=0,0,IF(E56&lt;=14,0.45*Supuestos!$C$5^0.284*E56,1.33*Supuestos!$C$5^0.284*MIN(E56,400)^0.588))</f>
        <v>0</v>
      </c>
      <c r="S56" s="7" t="n">
        <f aca="false">Q56+R56+Supuestos!$C$12+Supuestos!$C$13+Supuestos!$C$11-P56-Supuestos!$C$10</f>
        <v>64.6313600006552</v>
      </c>
      <c r="T56" s="7" t="n">
        <f aca="false">MCS!$E$5-S56-MCS!$G$5</f>
        <v>56.3686399993448</v>
      </c>
      <c r="U56" s="7" t="n">
        <f aca="false">T56-Supuestos!$C$15</f>
        <v>53.3686399993448</v>
      </c>
      <c r="V56" s="5" t="n">
        <f aca="false">SUMPRODUCT(--(MCS!$E$5:$E$14-$S56-MCS!$G$5:$G$14&gt;=Supuestos!$C$16))</f>
        <v>10</v>
      </c>
      <c r="W56" s="5" t="n">
        <f aca="false">SUMPRODUCT(--(MCS!$E$5:$E$14-Supuestos!$C$15-$S56-MCS!$G$5:$G$14&gt;=Supuestos!$C$16))</f>
        <v>10</v>
      </c>
      <c r="X56" s="6" t="str">
        <f aca="false">IF(V56=0,"ninguno",INDEX(MCS!$A$5:$A$14,V56))</f>
        <v>256QAM 5/6</v>
      </c>
      <c r="Y56" s="7" t="n">
        <f aca="false">IF(V56=0,0,INDEX(MCS!$F$5:$F$14,V56))</f>
        <v>192.592592592593</v>
      </c>
      <c r="Z56" s="7" t="n">
        <f aca="false">IF(W56=0,0,INDEX(MCS!$F$5:$F$14,W56))</f>
        <v>192.592592592593</v>
      </c>
      <c r="AA56" s="22" t="n">
        <f aca="false">IF(Y56&gt;0,Supuestos!$C$29*Supuestos!$C$30/(Supuestos!$C$17*Y56),0)</f>
        <v>0.00718934911242604</v>
      </c>
      <c r="AB56" s="22" t="n">
        <f aca="false">IF(Z56&gt;0,Supuestos!$C$29*Supuestos!$C$31/(Supuestos!$C$17*Z56),0)</f>
        <v>0.000898668639053254</v>
      </c>
    </row>
    <row r="57" customFormat="false" ht="15" hidden="false" customHeight="false" outlineLevel="0" collapsed="false">
      <c r="A57" s="13" t="n">
        <v>53</v>
      </c>
      <c r="B57" s="17" t="n">
        <v>55.5</v>
      </c>
      <c r="C57" s="18" t="n">
        <v>109.9</v>
      </c>
      <c r="D57" s="18" t="n">
        <v>210.8</v>
      </c>
      <c r="E57" s="19" t="n">
        <v>11</v>
      </c>
      <c r="F57" s="6" t="str">
        <f aca="false">IF(AND(B57&gt;=90,B57&lt;210),"S1",IF(AND(B57&gt;=210,B57&lt;330),"S2","S3"))</f>
        <v>S3</v>
      </c>
      <c r="G57" s="6" t="n">
        <f aca="false">IF(F57="S1",Supuestos!$C$26,IF(F57="S2",Supuestos!$C$27,Supuestos!$C$28))</f>
        <v>30</v>
      </c>
      <c r="H57" s="7" t="n">
        <f aca="false">MOD(B57-G57+180,360)-180</f>
        <v>25.5</v>
      </c>
      <c r="I57" s="7" t="n">
        <f aca="false">Supuestos!$C$7-(D57-Supuestos!$C$8)-Supuestos!$C$9</f>
        <v>19.2</v>
      </c>
      <c r="J57" s="7" t="n">
        <f aca="false">SQRT(C57^2+I57^2)</f>
        <v>111.564555303197</v>
      </c>
      <c r="K57" s="20" t="n">
        <f aca="false">DEGREES(ATAN2(C57,I57))</f>
        <v>9.90980446141891</v>
      </c>
      <c r="L57" s="20" t="n">
        <f aca="false">K57-(Supuestos!$C$21+Supuestos!$C$22)</f>
        <v>5.90980446141891</v>
      </c>
      <c r="M57" s="7" t="n">
        <f aca="false">MIN(6*(2*H57/Supuestos!$C$20)^2,Supuestos!$C$24)</f>
        <v>0.831477436197986</v>
      </c>
      <c r="N57" s="21" t="n">
        <f aca="false">PI()*Supuestos!$C$23/Supuestos!$C$6*SIN(RADIANS(L57))</f>
        <v>2.2966951679425</v>
      </c>
      <c r="O57" s="7" t="n">
        <f aca="false">IF(ABS(N57)&lt;0.000000001,0,MIN(-20*LOG10(MAX(ABS(SIN(N57)/N57),0.000001)),Supuestos!$C$25))</f>
        <v>9.74516085857173</v>
      </c>
      <c r="P57" s="7" t="n">
        <f aca="false">Supuestos!$C$19-M57-O57</f>
        <v>4.92336170523029</v>
      </c>
      <c r="Q57" s="7" t="n">
        <f aca="false">32.44+20*LOG10(J57/1000)+20*LOG10(Supuestos!$C$5*1000)</f>
        <v>88.6590846447833</v>
      </c>
      <c r="R57" s="7" t="n">
        <f aca="false">IF(E57&lt;=0,0,IF(E57&lt;=14,0.45*Supuestos!$C$5^0.284*E57,1.33*Supuestos!$C$5^0.284*MIN(E57,400)^0.588))</f>
        <v>8.15490205163753</v>
      </c>
      <c r="S57" s="7" t="n">
        <f aca="false">Q57+R57+Supuestos!$C$12+Supuestos!$C$13+Supuestos!$C$11-P57-Supuestos!$C$10</f>
        <v>70.6906249911906</v>
      </c>
      <c r="T57" s="7" t="n">
        <f aca="false">MCS!$E$5-S57-MCS!$G$5</f>
        <v>50.3093750088094</v>
      </c>
      <c r="U57" s="7" t="n">
        <f aca="false">T57-Supuestos!$C$15</f>
        <v>47.3093750088094</v>
      </c>
      <c r="V57" s="5" t="n">
        <f aca="false">SUMPRODUCT(--(MCS!$E$5:$E$14-$S57-MCS!$G$5:$G$14&gt;=Supuestos!$C$16))</f>
        <v>10</v>
      </c>
      <c r="W57" s="5" t="n">
        <f aca="false">SUMPRODUCT(--(MCS!$E$5:$E$14-Supuestos!$C$15-$S57-MCS!$G$5:$G$14&gt;=Supuestos!$C$16))</f>
        <v>10</v>
      </c>
      <c r="X57" s="6" t="str">
        <f aca="false">IF(V57=0,"ninguno",INDEX(MCS!$A$5:$A$14,V57))</f>
        <v>256QAM 5/6</v>
      </c>
      <c r="Y57" s="7" t="n">
        <f aca="false">IF(V57=0,0,INDEX(MCS!$F$5:$F$14,V57))</f>
        <v>192.592592592593</v>
      </c>
      <c r="Z57" s="7" t="n">
        <f aca="false">IF(W57=0,0,INDEX(MCS!$F$5:$F$14,W57))</f>
        <v>192.592592592593</v>
      </c>
      <c r="AA57" s="22" t="n">
        <f aca="false">IF(Y57&gt;0,Supuestos!$C$29*Supuestos!$C$30/(Supuestos!$C$17*Y57),0)</f>
        <v>0.00718934911242604</v>
      </c>
      <c r="AB57" s="22" t="n">
        <f aca="false">IF(Z57&gt;0,Supuestos!$C$29*Supuestos!$C$31/(Supuestos!$C$17*Z57),0)</f>
        <v>0.000898668639053254</v>
      </c>
    </row>
    <row r="58" customFormat="false" ht="15" hidden="false" customHeight="false" outlineLevel="0" collapsed="false">
      <c r="A58" s="13" t="n">
        <v>54</v>
      </c>
      <c r="B58" s="17" t="n">
        <v>43.3</v>
      </c>
      <c r="C58" s="18" t="n">
        <v>120.5</v>
      </c>
      <c r="D58" s="18" t="n">
        <v>210.9</v>
      </c>
      <c r="E58" s="19" t="n">
        <v>0</v>
      </c>
      <c r="F58" s="6" t="str">
        <f aca="false">IF(AND(B58&gt;=90,B58&lt;210),"S1",IF(AND(B58&gt;=210,B58&lt;330),"S2","S3"))</f>
        <v>S3</v>
      </c>
      <c r="G58" s="6" t="n">
        <f aca="false">IF(F58="S1",Supuestos!$C$26,IF(F58="S2",Supuestos!$C$27,Supuestos!$C$28))</f>
        <v>30</v>
      </c>
      <c r="H58" s="7" t="n">
        <f aca="false">MOD(B58-G58+180,360)-180</f>
        <v>13.3</v>
      </c>
      <c r="I58" s="7" t="n">
        <f aca="false">Supuestos!$C$7-(D58-Supuestos!$C$8)-Supuestos!$C$9</f>
        <v>19.1</v>
      </c>
      <c r="J58" s="7" t="n">
        <f aca="false">SQRT(C58^2+I58^2)</f>
        <v>122.004344184951</v>
      </c>
      <c r="K58" s="20" t="n">
        <f aca="false">DEGREES(ATAN2(C58,I58))</f>
        <v>9.00680680997172</v>
      </c>
      <c r="L58" s="20" t="n">
        <f aca="false">K58-(Supuestos!$C$21+Supuestos!$C$22)</f>
        <v>5.00680680997172</v>
      </c>
      <c r="M58" s="7" t="n">
        <f aca="false">MIN(6*(2*H58/Supuestos!$C$20)^2,Supuestos!$C$24)</f>
        <v>0.226189994139273</v>
      </c>
      <c r="N58" s="21" t="n">
        <f aca="false">PI()*Supuestos!$C$23/Supuestos!$C$6*SIN(RADIANS(L58))</f>
        <v>1.94674273761715</v>
      </c>
      <c r="O58" s="7" t="n">
        <f aca="false">IF(ABS(N58)&lt;0.000000001,0,MIN(-20*LOG10(MAX(ABS(SIN(N58)/N58),0.000001)),Supuestos!$C$25))</f>
        <v>6.4150128370781</v>
      </c>
      <c r="P58" s="7" t="n">
        <f aca="false">Supuestos!$C$19-M58-O58</f>
        <v>8.85879716878263</v>
      </c>
      <c r="Q58" s="7" t="n">
        <f aca="false">32.44+20*LOG10(J58/1000)+20*LOG10(Supuestos!$C$5*1000)</f>
        <v>89.4360657670428</v>
      </c>
      <c r="R58" s="7" t="n">
        <f aca="false">IF(E58&lt;=0,0,IF(E58&lt;=14,0.45*Supuestos!$C$5^0.284*E58,1.33*Supuestos!$C$5^0.284*MIN(E58,400)^0.588))</f>
        <v>0</v>
      </c>
      <c r="S58" s="7" t="n">
        <f aca="false">Q58+R58+Supuestos!$C$12+Supuestos!$C$13+Supuestos!$C$11-P58-Supuestos!$C$10</f>
        <v>59.3772685982601</v>
      </c>
      <c r="T58" s="7" t="n">
        <f aca="false">MCS!$E$5-S58-MCS!$G$5</f>
        <v>61.6227314017399</v>
      </c>
      <c r="U58" s="7" t="n">
        <f aca="false">T58-Supuestos!$C$15</f>
        <v>58.6227314017399</v>
      </c>
      <c r="V58" s="5" t="n">
        <f aca="false">SUMPRODUCT(--(MCS!$E$5:$E$14-$S58-MCS!$G$5:$G$14&gt;=Supuestos!$C$16))</f>
        <v>10</v>
      </c>
      <c r="W58" s="5" t="n">
        <f aca="false">SUMPRODUCT(--(MCS!$E$5:$E$14-Supuestos!$C$15-$S58-MCS!$G$5:$G$14&gt;=Supuestos!$C$16))</f>
        <v>10</v>
      </c>
      <c r="X58" s="6" t="str">
        <f aca="false">IF(V58=0,"ninguno",INDEX(MCS!$A$5:$A$14,V58))</f>
        <v>256QAM 5/6</v>
      </c>
      <c r="Y58" s="7" t="n">
        <f aca="false">IF(V58=0,0,INDEX(MCS!$F$5:$F$14,V58))</f>
        <v>192.592592592593</v>
      </c>
      <c r="Z58" s="7" t="n">
        <f aca="false">IF(W58=0,0,INDEX(MCS!$F$5:$F$14,W58))</f>
        <v>192.592592592593</v>
      </c>
      <c r="AA58" s="22" t="n">
        <f aca="false">IF(Y58&gt;0,Supuestos!$C$29*Supuestos!$C$30/(Supuestos!$C$17*Y58),0)</f>
        <v>0.00718934911242604</v>
      </c>
      <c r="AB58" s="22" t="n">
        <f aca="false">IF(Z58&gt;0,Supuestos!$C$29*Supuestos!$C$31/(Supuestos!$C$17*Z58),0)</f>
        <v>0.000898668639053254</v>
      </c>
    </row>
    <row r="59" customFormat="false" ht="15" hidden="false" customHeight="false" outlineLevel="0" collapsed="false">
      <c r="A59" s="13" t="n">
        <v>55</v>
      </c>
      <c r="B59" s="17" t="n">
        <v>45</v>
      </c>
      <c r="C59" s="18" t="n">
        <v>164.9</v>
      </c>
      <c r="D59" s="18" t="n">
        <v>211.9</v>
      </c>
      <c r="E59" s="19" t="n">
        <v>10</v>
      </c>
      <c r="F59" s="6" t="str">
        <f aca="false">IF(AND(B59&gt;=90,B59&lt;210),"S1",IF(AND(B59&gt;=210,B59&lt;330),"S2","S3"))</f>
        <v>S3</v>
      </c>
      <c r="G59" s="6" t="n">
        <f aca="false">IF(F59="S1",Supuestos!$C$26,IF(F59="S2",Supuestos!$C$27,Supuestos!$C$28))</f>
        <v>30</v>
      </c>
      <c r="H59" s="7" t="n">
        <f aca="false">MOD(B59-G59+180,360)-180</f>
        <v>15</v>
      </c>
      <c r="I59" s="7" t="n">
        <f aca="false">Supuestos!$C$7-(D59-Supuestos!$C$8)-Supuestos!$C$9</f>
        <v>18.1</v>
      </c>
      <c r="J59" s="7" t="n">
        <f aca="false">SQRT(C59^2+I59^2)</f>
        <v>165.890385495965</v>
      </c>
      <c r="K59" s="20" t="n">
        <f aca="false">DEGREES(ATAN2(C59,I59))</f>
        <v>6.2639092992857</v>
      </c>
      <c r="L59" s="20" t="n">
        <f aca="false">K59-(Supuestos!$C$21+Supuestos!$C$22)</f>
        <v>2.2639092992857</v>
      </c>
      <c r="M59" s="7" t="n">
        <f aca="false">MIN(6*(2*H59/Supuestos!$C$20)^2,Supuestos!$C$24)</f>
        <v>0.287708455431829</v>
      </c>
      <c r="N59" s="21" t="n">
        <f aca="false">PI()*Supuestos!$C$23/Supuestos!$C$6*SIN(RADIANS(L59))</f>
        <v>0.881143426308424</v>
      </c>
      <c r="O59" s="7" t="n">
        <f aca="false">IF(ABS(N59)&lt;0.000000001,0,MIN(-20*LOG10(MAX(ABS(SIN(N59)/N59),0.000001)),Supuestos!$C$25))</f>
        <v>1.15458604990738</v>
      </c>
      <c r="P59" s="7" t="n">
        <f aca="false">Supuestos!$C$19-M59-O59</f>
        <v>14.0577054946608</v>
      </c>
      <c r="Q59" s="7" t="n">
        <f aca="false">32.44+20*LOG10(J59/1000)+20*LOG10(Supuestos!$C$5*1000)</f>
        <v>92.1049841984914</v>
      </c>
      <c r="R59" s="7" t="n">
        <f aca="false">IF(E59&lt;=0,0,IF(E59&lt;=14,0.45*Supuestos!$C$5^0.284*E59,1.33*Supuestos!$C$5^0.284*MIN(E59,400)^0.588))</f>
        <v>7.41354731967048</v>
      </c>
      <c r="S59" s="7" t="n">
        <f aca="false">Q59+R59+Supuestos!$C$12+Supuestos!$C$13+Supuestos!$C$11-P59-Supuestos!$C$10</f>
        <v>64.2608260235011</v>
      </c>
      <c r="T59" s="7" t="n">
        <f aca="false">MCS!$E$5-S59-MCS!$G$5</f>
        <v>56.7391739764989</v>
      </c>
      <c r="U59" s="7" t="n">
        <f aca="false">T59-Supuestos!$C$15</f>
        <v>53.7391739764989</v>
      </c>
      <c r="V59" s="5" t="n">
        <f aca="false">SUMPRODUCT(--(MCS!$E$5:$E$14-$S59-MCS!$G$5:$G$14&gt;=Supuestos!$C$16))</f>
        <v>10</v>
      </c>
      <c r="W59" s="5" t="n">
        <f aca="false">SUMPRODUCT(--(MCS!$E$5:$E$14-Supuestos!$C$15-$S59-MCS!$G$5:$G$14&gt;=Supuestos!$C$16))</f>
        <v>10</v>
      </c>
      <c r="X59" s="6" t="str">
        <f aca="false">IF(V59=0,"ninguno",INDEX(MCS!$A$5:$A$14,V59))</f>
        <v>256QAM 5/6</v>
      </c>
      <c r="Y59" s="7" t="n">
        <f aca="false">IF(V59=0,0,INDEX(MCS!$F$5:$F$14,V59))</f>
        <v>192.592592592593</v>
      </c>
      <c r="Z59" s="7" t="n">
        <f aca="false">IF(W59=0,0,INDEX(MCS!$F$5:$F$14,W59))</f>
        <v>192.592592592593</v>
      </c>
      <c r="AA59" s="22" t="n">
        <f aca="false">IF(Y59&gt;0,Supuestos!$C$29*Supuestos!$C$30/(Supuestos!$C$17*Y59),0)</f>
        <v>0.00718934911242604</v>
      </c>
      <c r="AB59" s="22" t="n">
        <f aca="false">IF(Z59&gt;0,Supuestos!$C$29*Supuestos!$C$31/(Supuestos!$C$17*Z59),0)</f>
        <v>0.000898668639053254</v>
      </c>
    </row>
    <row r="60" customFormat="false" ht="15" hidden="false" customHeight="false" outlineLevel="0" collapsed="false">
      <c r="A60" s="13" t="n">
        <v>56</v>
      </c>
      <c r="B60" s="17" t="n">
        <v>58.1</v>
      </c>
      <c r="C60" s="18" t="n">
        <v>140.4</v>
      </c>
      <c r="D60" s="18" t="n">
        <v>212.3</v>
      </c>
      <c r="E60" s="19" t="n">
        <v>10</v>
      </c>
      <c r="F60" s="6" t="str">
        <f aca="false">IF(AND(B60&gt;=90,B60&lt;210),"S1",IF(AND(B60&gt;=210,B60&lt;330),"S2","S3"))</f>
        <v>S3</v>
      </c>
      <c r="G60" s="6" t="n">
        <f aca="false">IF(F60="S1",Supuestos!$C$26,IF(F60="S2",Supuestos!$C$27,Supuestos!$C$28))</f>
        <v>30</v>
      </c>
      <c r="H60" s="7" t="n">
        <f aca="false">MOD(B60-G60+180,360)-180</f>
        <v>28.1</v>
      </c>
      <c r="I60" s="7" t="n">
        <f aca="false">Supuestos!$C$7-(D60-Supuestos!$C$8)-Supuestos!$C$9</f>
        <v>17.7</v>
      </c>
      <c r="J60" s="7" t="n">
        <f aca="false">SQRT(C60^2+I60^2)</f>
        <v>141.511306968737</v>
      </c>
      <c r="K60" s="20" t="n">
        <f aca="false">DEGREES(ATAN2(C60,I60))</f>
        <v>7.18528009687402</v>
      </c>
      <c r="L60" s="20" t="n">
        <f aca="false">K60-(Supuestos!$C$21+Supuestos!$C$22)</f>
        <v>3.18528009687402</v>
      </c>
      <c r="M60" s="7" t="n">
        <f aca="false">MIN(6*(2*H60/Supuestos!$C$20)^2,Supuestos!$C$24)</f>
        <v>1.00967765997123</v>
      </c>
      <c r="N60" s="21" t="n">
        <f aca="false">PI()*Supuestos!$C$23/Supuestos!$C$6*SIN(RADIANS(L60))</f>
        <v>1.23943709870144</v>
      </c>
      <c r="O60" s="7" t="n">
        <f aca="false">IF(ABS(N60)&lt;0.000000001,0,MIN(-20*LOG10(MAX(ABS(SIN(N60)/N60),0.000001)),Supuestos!$C$25))</f>
        <v>2.35033117268907</v>
      </c>
      <c r="P60" s="7" t="n">
        <f aca="false">Supuestos!$C$19-M60-O60</f>
        <v>12.1399911673397</v>
      </c>
      <c r="Q60" s="7" t="n">
        <f aca="false">32.44+20*LOG10(J60/1000)+20*LOG10(Supuestos!$C$5*1000)</f>
        <v>90.7243827119905</v>
      </c>
      <c r="R60" s="7" t="n">
        <f aca="false">IF(E60&lt;=0,0,IF(E60&lt;=14,0.45*Supuestos!$C$5^0.284*E60,1.33*Supuestos!$C$5^0.284*MIN(E60,400)^0.588))</f>
        <v>7.41354731967048</v>
      </c>
      <c r="S60" s="7" t="n">
        <f aca="false">Q60+R60+Supuestos!$C$12+Supuestos!$C$13+Supuestos!$C$11-P60-Supuestos!$C$10</f>
        <v>64.7979388643213</v>
      </c>
      <c r="T60" s="7" t="n">
        <f aca="false">MCS!$E$5-S60-MCS!$G$5</f>
        <v>56.2020611356787</v>
      </c>
      <c r="U60" s="7" t="n">
        <f aca="false">T60-Supuestos!$C$15</f>
        <v>53.2020611356787</v>
      </c>
      <c r="V60" s="5" t="n">
        <f aca="false">SUMPRODUCT(--(MCS!$E$5:$E$14-$S60-MCS!$G$5:$G$14&gt;=Supuestos!$C$16))</f>
        <v>10</v>
      </c>
      <c r="W60" s="5" t="n">
        <f aca="false">SUMPRODUCT(--(MCS!$E$5:$E$14-Supuestos!$C$15-$S60-MCS!$G$5:$G$14&gt;=Supuestos!$C$16))</f>
        <v>10</v>
      </c>
      <c r="X60" s="6" t="str">
        <f aca="false">IF(V60=0,"ninguno",INDEX(MCS!$A$5:$A$14,V60))</f>
        <v>256QAM 5/6</v>
      </c>
      <c r="Y60" s="7" t="n">
        <f aca="false">IF(V60=0,0,INDEX(MCS!$F$5:$F$14,V60))</f>
        <v>192.592592592593</v>
      </c>
      <c r="Z60" s="7" t="n">
        <f aca="false">IF(W60=0,0,INDEX(MCS!$F$5:$F$14,W60))</f>
        <v>192.592592592593</v>
      </c>
      <c r="AA60" s="22" t="n">
        <f aca="false">IF(Y60&gt;0,Supuestos!$C$29*Supuestos!$C$30/(Supuestos!$C$17*Y60),0)</f>
        <v>0.00718934911242604</v>
      </c>
      <c r="AB60" s="22" t="n">
        <f aca="false">IF(Z60&gt;0,Supuestos!$C$29*Supuestos!$C$31/(Supuestos!$C$17*Z60),0)</f>
        <v>0.000898668639053254</v>
      </c>
    </row>
    <row r="61" customFormat="false" ht="15" hidden="false" customHeight="false" outlineLevel="0" collapsed="false">
      <c r="A61" s="13" t="n">
        <v>57</v>
      </c>
      <c r="B61" s="17" t="n">
        <v>85.7</v>
      </c>
      <c r="C61" s="18" t="n">
        <v>117.5</v>
      </c>
      <c r="D61" s="18" t="n">
        <v>211.8</v>
      </c>
      <c r="E61" s="19" t="n">
        <v>0</v>
      </c>
      <c r="F61" s="6" t="str">
        <f aca="false">IF(AND(B61&gt;=90,B61&lt;210),"S1",IF(AND(B61&gt;=210,B61&lt;330),"S2","S3"))</f>
        <v>S3</v>
      </c>
      <c r="G61" s="6" t="n">
        <f aca="false">IF(F61="S1",Supuestos!$C$26,IF(F61="S2",Supuestos!$C$27,Supuestos!$C$28))</f>
        <v>30</v>
      </c>
      <c r="H61" s="7" t="n">
        <f aca="false">MOD(B61-G61+180,360)-180</f>
        <v>55.7</v>
      </c>
      <c r="I61" s="7" t="n">
        <f aca="false">Supuestos!$C$7-(D61-Supuestos!$C$8)-Supuestos!$C$9</f>
        <v>18.2</v>
      </c>
      <c r="J61" s="7" t="n">
        <f aca="false">SQRT(C61^2+I61^2)</f>
        <v>118.90117745422</v>
      </c>
      <c r="K61" s="20" t="n">
        <f aca="false">DEGREES(ATAN2(C61,I61))</f>
        <v>8.80478059827755</v>
      </c>
      <c r="L61" s="20" t="n">
        <f aca="false">K61-(Supuestos!$C$21+Supuestos!$C$22)</f>
        <v>4.80478059827755</v>
      </c>
      <c r="M61" s="7" t="n">
        <f aca="false">MIN(6*(2*H61/Supuestos!$C$20)^2,Supuestos!$C$24)</f>
        <v>3.96716713730087</v>
      </c>
      <c r="N61" s="21" t="n">
        <f aca="false">PI()*Supuestos!$C$23/Supuestos!$C$6*SIN(RADIANS(L61))</f>
        <v>1.86837917028405</v>
      </c>
      <c r="O61" s="7" t="n">
        <f aca="false">IF(ABS(N61)&lt;0.000000001,0,MIN(-20*LOG10(MAX(ABS(SIN(N61)/N61),0.000001)),Supuestos!$C$25))</f>
        <v>5.81970624463562</v>
      </c>
      <c r="P61" s="7" t="n">
        <f aca="false">Supuestos!$C$19-M61-O61</f>
        <v>5.71312661806351</v>
      </c>
      <c r="Q61" s="7" t="n">
        <f aca="false">32.44+20*LOG10(J61/1000)+20*LOG10(Supuestos!$C$5*1000)</f>
        <v>89.2122829786601</v>
      </c>
      <c r="R61" s="7" t="n">
        <f aca="false">IF(E61&lt;=0,0,IF(E61&lt;=14,0.45*Supuestos!$C$5^0.284*E61,1.33*Supuestos!$C$5^0.284*MIN(E61,400)^0.588))</f>
        <v>0</v>
      </c>
      <c r="S61" s="7" t="n">
        <f aca="false">Q61+R61+Supuestos!$C$12+Supuestos!$C$13+Supuestos!$C$11-P61-Supuestos!$C$10</f>
        <v>62.2991563605966</v>
      </c>
      <c r="T61" s="7" t="n">
        <f aca="false">MCS!$E$5-S61-MCS!$G$5</f>
        <v>58.7008436394034</v>
      </c>
      <c r="U61" s="7" t="n">
        <f aca="false">T61-Supuestos!$C$15</f>
        <v>55.7008436394034</v>
      </c>
      <c r="V61" s="5" t="n">
        <f aca="false">SUMPRODUCT(--(MCS!$E$5:$E$14-$S61-MCS!$G$5:$G$14&gt;=Supuestos!$C$16))</f>
        <v>10</v>
      </c>
      <c r="W61" s="5" t="n">
        <f aca="false">SUMPRODUCT(--(MCS!$E$5:$E$14-Supuestos!$C$15-$S61-MCS!$G$5:$G$14&gt;=Supuestos!$C$16))</f>
        <v>10</v>
      </c>
      <c r="X61" s="6" t="str">
        <f aca="false">IF(V61=0,"ninguno",INDEX(MCS!$A$5:$A$14,V61))</f>
        <v>256QAM 5/6</v>
      </c>
      <c r="Y61" s="7" t="n">
        <f aca="false">IF(V61=0,0,INDEX(MCS!$F$5:$F$14,V61))</f>
        <v>192.592592592593</v>
      </c>
      <c r="Z61" s="7" t="n">
        <f aca="false">IF(W61=0,0,INDEX(MCS!$F$5:$F$14,W61))</f>
        <v>192.592592592593</v>
      </c>
      <c r="AA61" s="22" t="n">
        <f aca="false">IF(Y61&gt;0,Supuestos!$C$29*Supuestos!$C$30/(Supuestos!$C$17*Y61),0)</f>
        <v>0.00718934911242604</v>
      </c>
      <c r="AB61" s="22" t="n">
        <f aca="false">IF(Z61&gt;0,Supuestos!$C$29*Supuestos!$C$31/(Supuestos!$C$17*Z61),0)</f>
        <v>0.000898668639053254</v>
      </c>
    </row>
    <row r="62" customFormat="false" ht="15" hidden="false" customHeight="false" outlineLevel="0" collapsed="false">
      <c r="A62" s="13" t="n">
        <v>58</v>
      </c>
      <c r="B62" s="17" t="n">
        <v>91.4</v>
      </c>
      <c r="C62" s="18" t="n">
        <v>124.9</v>
      </c>
      <c r="D62" s="18" t="n">
        <v>211.6</v>
      </c>
      <c r="E62" s="19" t="n">
        <v>17</v>
      </c>
      <c r="F62" s="6" t="str">
        <f aca="false">IF(AND(B62&gt;=90,B62&lt;210),"S1",IF(AND(B62&gt;=210,B62&lt;330),"S2","S3"))</f>
        <v>S1</v>
      </c>
      <c r="G62" s="6" t="n">
        <f aca="false">IF(F62="S1",Supuestos!$C$26,IF(F62="S2",Supuestos!$C$27,Supuestos!$C$28))</f>
        <v>150</v>
      </c>
      <c r="H62" s="7" t="n">
        <f aca="false">MOD(B62-G62+180,360)-180</f>
        <v>-58.6</v>
      </c>
      <c r="I62" s="7" t="n">
        <f aca="false">Supuestos!$C$7-(D62-Supuestos!$C$8)-Supuestos!$C$9</f>
        <v>18.4</v>
      </c>
      <c r="J62" s="7" t="n">
        <f aca="false">SQRT(C62^2+I62^2)</f>
        <v>126.248049489883</v>
      </c>
      <c r="K62" s="20" t="n">
        <f aca="false">DEGREES(ATAN2(C62,I62))</f>
        <v>8.38041278150596</v>
      </c>
      <c r="L62" s="20" t="n">
        <f aca="false">K62-(Supuestos!$C$21+Supuestos!$C$22)</f>
        <v>4.38041278150596</v>
      </c>
      <c r="M62" s="7" t="n">
        <f aca="false">MIN(6*(2*H62/Supuestos!$C$20)^2,Supuestos!$C$24)</f>
        <v>4.39101923384304</v>
      </c>
      <c r="N62" s="21" t="n">
        <f aca="false">PI()*Supuestos!$C$23/Supuestos!$C$6*SIN(RADIANS(L62))</f>
        <v>1.7036974553002</v>
      </c>
      <c r="O62" s="7" t="n">
        <f aca="false">IF(ABS(N62)&lt;0.000000001,0,MIN(-20*LOG10(MAX(ABS(SIN(N62)/N62),0.000001)),Supuestos!$C$25))</f>
        <v>4.7047845509356</v>
      </c>
      <c r="P62" s="7" t="n">
        <f aca="false">Supuestos!$C$19-M62-O62</f>
        <v>6.40419621522137</v>
      </c>
      <c r="Q62" s="7" t="n">
        <f aca="false">32.44+20*LOG10(J62/1000)+20*LOG10(Supuestos!$C$5*1000)</f>
        <v>89.7330534126451</v>
      </c>
      <c r="R62" s="7" t="n">
        <f aca="false">IF(E62&lt;=0,0,IF(E62&lt;=14,0.45*Supuestos!$C$5^0.284*E62,1.33*Supuestos!$C$5^0.284*MIN(E62,400)^0.588))</f>
        <v>11.5922878573376</v>
      </c>
      <c r="S62" s="7" t="n">
        <f aca="false">Q62+R62+Supuestos!$C$12+Supuestos!$C$13+Supuestos!$C$11-P62-Supuestos!$C$10</f>
        <v>73.7211450547614</v>
      </c>
      <c r="T62" s="7" t="n">
        <f aca="false">MCS!$E$5-S62-MCS!$G$5</f>
        <v>47.2788549452386</v>
      </c>
      <c r="U62" s="7" t="n">
        <f aca="false">T62-Supuestos!$C$15</f>
        <v>44.2788549452386</v>
      </c>
      <c r="V62" s="5" t="n">
        <f aca="false">SUMPRODUCT(--(MCS!$E$5:$E$14-$S62-MCS!$G$5:$G$14&gt;=Supuestos!$C$16))</f>
        <v>10</v>
      </c>
      <c r="W62" s="5" t="n">
        <f aca="false">SUMPRODUCT(--(MCS!$E$5:$E$14-Supuestos!$C$15-$S62-MCS!$G$5:$G$14&gt;=Supuestos!$C$16))</f>
        <v>9</v>
      </c>
      <c r="X62" s="6" t="str">
        <f aca="false">IF(V62=0,"ninguno",INDEX(MCS!$A$5:$A$14,V62))</f>
        <v>256QAM 5/6</v>
      </c>
      <c r="Y62" s="7" t="n">
        <f aca="false">IF(V62=0,0,INDEX(MCS!$F$5:$F$14,V62))</f>
        <v>192.592592592593</v>
      </c>
      <c r="Z62" s="7" t="n">
        <f aca="false">IF(W62=0,0,INDEX(MCS!$F$5:$F$14,W62))</f>
        <v>173.333333333333</v>
      </c>
      <c r="AA62" s="22" t="n">
        <f aca="false">IF(Y62&gt;0,Supuestos!$C$29*Supuestos!$C$30/(Supuestos!$C$17*Y62),0)</f>
        <v>0.00718934911242604</v>
      </c>
      <c r="AB62" s="22" t="n">
        <f aca="false">IF(Z62&gt;0,Supuestos!$C$29*Supuestos!$C$31/(Supuestos!$C$17*Z62),0)</f>
        <v>0.000998520710059172</v>
      </c>
    </row>
    <row r="63" customFormat="false" ht="15" hidden="false" customHeight="false" outlineLevel="0" collapsed="false">
      <c r="A63" s="13" t="n">
        <v>59</v>
      </c>
      <c r="B63" s="17" t="n">
        <v>109.6</v>
      </c>
      <c r="C63" s="18" t="n">
        <v>87.2</v>
      </c>
      <c r="D63" s="18" t="n">
        <v>207.9</v>
      </c>
      <c r="E63" s="19" t="n">
        <v>7</v>
      </c>
      <c r="F63" s="6" t="str">
        <f aca="false">IF(AND(B63&gt;=90,B63&lt;210),"S1",IF(AND(B63&gt;=210,B63&lt;330),"S2","S3"))</f>
        <v>S1</v>
      </c>
      <c r="G63" s="6" t="n">
        <f aca="false">IF(F63="S1",Supuestos!$C$26,IF(F63="S2",Supuestos!$C$27,Supuestos!$C$28))</f>
        <v>150</v>
      </c>
      <c r="H63" s="7" t="n">
        <f aca="false">MOD(B63-G63+180,360)-180</f>
        <v>-40.4</v>
      </c>
      <c r="I63" s="7" t="n">
        <f aca="false">Supuestos!$C$7-(D63-Supuestos!$C$8)-Supuestos!$C$9</f>
        <v>22.1</v>
      </c>
      <c r="J63" s="7" t="n">
        <f aca="false">SQRT(C63^2+I63^2)</f>
        <v>89.956934140732</v>
      </c>
      <c r="K63" s="20" t="n">
        <f aca="false">DEGREES(ATAN2(C63,I63))</f>
        <v>14.2216160630102</v>
      </c>
      <c r="L63" s="20" t="n">
        <f aca="false">K63-(Supuestos!$C$21+Supuestos!$C$22)</f>
        <v>10.2216160630102</v>
      </c>
      <c r="M63" s="7" t="n">
        <f aca="false">MIN(6*(2*H63/Supuestos!$C$20)^2,Supuestos!$C$24)</f>
        <v>2.08704992274495</v>
      </c>
      <c r="N63" s="21" t="n">
        <f aca="false">PI()*Supuestos!$C$23/Supuestos!$C$6*SIN(RADIANS(L63))</f>
        <v>3.95834829560979</v>
      </c>
      <c r="O63" s="7" t="n">
        <f aca="false">IF(ABS(N63)&lt;0.000000001,0,MIN(-20*LOG10(MAX(ABS(SIN(N63)/N63),0.000001)),Supuestos!$C$25))</f>
        <v>14.6965801071354</v>
      </c>
      <c r="P63" s="7" t="n">
        <f aca="false">Supuestos!$C$19-M63-O63</f>
        <v>-1.28363002988031</v>
      </c>
      <c r="Q63" s="7" t="n">
        <f aca="false">32.44+20*LOG10(J63/1000)+20*LOG10(Supuestos!$C$5*1000)</f>
        <v>86.7892527841981</v>
      </c>
      <c r="R63" s="7" t="n">
        <f aca="false">IF(E63&lt;=0,0,IF(E63&lt;=14,0.45*Supuestos!$C$5^0.284*E63,1.33*Supuestos!$C$5^0.284*MIN(E63,400)^0.588))</f>
        <v>5.18948312376934</v>
      </c>
      <c r="S63" s="7" t="n">
        <f aca="false">Q63+R63+Supuestos!$C$12+Supuestos!$C$13+Supuestos!$C$11-P63-Supuestos!$C$10</f>
        <v>72.0623659378478</v>
      </c>
      <c r="T63" s="7" t="n">
        <f aca="false">MCS!$E$5-S63-MCS!$G$5</f>
        <v>48.9376340621522</v>
      </c>
      <c r="U63" s="7" t="n">
        <f aca="false">T63-Supuestos!$C$15</f>
        <v>45.9376340621522</v>
      </c>
      <c r="V63" s="5" t="n">
        <f aca="false">SUMPRODUCT(--(MCS!$E$5:$E$14-$S63-MCS!$G$5:$G$14&gt;=Supuestos!$C$16))</f>
        <v>10</v>
      </c>
      <c r="W63" s="5" t="n">
        <f aca="false">SUMPRODUCT(--(MCS!$E$5:$E$14-Supuestos!$C$15-$S63-MCS!$G$5:$G$14&gt;=Supuestos!$C$16))</f>
        <v>9</v>
      </c>
      <c r="X63" s="6" t="str">
        <f aca="false">IF(V63=0,"ninguno",INDEX(MCS!$A$5:$A$14,V63))</f>
        <v>256QAM 5/6</v>
      </c>
      <c r="Y63" s="7" t="n">
        <f aca="false">IF(V63=0,0,INDEX(MCS!$F$5:$F$14,V63))</f>
        <v>192.592592592593</v>
      </c>
      <c r="Z63" s="7" t="n">
        <f aca="false">IF(W63=0,0,INDEX(MCS!$F$5:$F$14,W63))</f>
        <v>173.333333333333</v>
      </c>
      <c r="AA63" s="22" t="n">
        <f aca="false">IF(Y63&gt;0,Supuestos!$C$29*Supuestos!$C$30/(Supuestos!$C$17*Y63),0)</f>
        <v>0.00718934911242604</v>
      </c>
      <c r="AB63" s="22" t="n">
        <f aca="false">IF(Z63&gt;0,Supuestos!$C$29*Supuestos!$C$31/(Supuestos!$C$17*Z63),0)</f>
        <v>0.000998520710059172</v>
      </c>
    </row>
    <row r="64" customFormat="false" ht="15" hidden="false" customHeight="false" outlineLevel="0" collapsed="false">
      <c r="A64" s="13" t="n">
        <v>60</v>
      </c>
      <c r="B64" s="17" t="n">
        <v>108.9</v>
      </c>
      <c r="C64" s="18" t="n">
        <v>122.2</v>
      </c>
      <c r="D64" s="18" t="n">
        <v>209.7</v>
      </c>
      <c r="E64" s="19" t="n">
        <v>18</v>
      </c>
      <c r="F64" s="6" t="str">
        <f aca="false">IF(AND(B64&gt;=90,B64&lt;210),"S1",IF(AND(B64&gt;=210,B64&lt;330),"S2","S3"))</f>
        <v>S1</v>
      </c>
      <c r="G64" s="6" t="n">
        <f aca="false">IF(F64="S1",Supuestos!$C$26,IF(F64="S2",Supuestos!$C$27,Supuestos!$C$28))</f>
        <v>150</v>
      </c>
      <c r="H64" s="7" t="n">
        <f aca="false">MOD(B64-G64+180,360)-180</f>
        <v>-41.1</v>
      </c>
      <c r="I64" s="7" t="n">
        <f aca="false">Supuestos!$C$7-(D64-Supuestos!$C$8)-Supuestos!$C$9</f>
        <v>20.3</v>
      </c>
      <c r="J64" s="7" t="n">
        <f aca="false">SQRT(C64^2+I64^2)</f>
        <v>123.874654389023</v>
      </c>
      <c r="K64" s="20" t="n">
        <f aca="false">DEGREES(ATAN2(C64,I64))</f>
        <v>9.43190640224941</v>
      </c>
      <c r="L64" s="20" t="n">
        <f aca="false">K64-(Supuestos!$C$21+Supuestos!$C$22)</f>
        <v>5.43190640224941</v>
      </c>
      <c r="M64" s="7" t="n">
        <f aca="false">MIN(6*(2*H64/Supuestos!$C$20)^2,Supuestos!$C$24)</f>
        <v>2.16</v>
      </c>
      <c r="N64" s="21" t="n">
        <f aca="false">PI()*Supuestos!$C$23/Supuestos!$C$6*SIN(RADIANS(L64))</f>
        <v>2.11155360259853</v>
      </c>
      <c r="O64" s="7" t="n">
        <f aca="false">IF(ABS(N64)&lt;0.000000001,0,MIN(-20*LOG10(MAX(ABS(SIN(N64)/N64),0.000001)),Supuestos!$C$25))</f>
        <v>7.82919229892913</v>
      </c>
      <c r="P64" s="7" t="n">
        <f aca="false">Supuestos!$C$19-M64-O64</f>
        <v>5.51080770107087</v>
      </c>
      <c r="Q64" s="7" t="n">
        <f aca="false">32.44+20*LOG10(J64/1000)+20*LOG10(Supuestos!$C$5*1000)</f>
        <v>89.5682089874787</v>
      </c>
      <c r="R64" s="7" t="n">
        <f aca="false">IF(E64&lt;=0,0,IF(E64&lt;=14,0.45*Supuestos!$C$5^0.284*E64,1.33*Supuestos!$C$5^0.284*MIN(E64,400)^0.588))</f>
        <v>11.9885159147658</v>
      </c>
      <c r="S64" s="7" t="n">
        <f aca="false">Q64+R64+Supuestos!$C$12+Supuestos!$C$13+Supuestos!$C$11-P64-Supuestos!$C$10</f>
        <v>74.8459172011736</v>
      </c>
      <c r="T64" s="7" t="n">
        <f aca="false">MCS!$E$5-S64-MCS!$G$5</f>
        <v>46.1540827988264</v>
      </c>
      <c r="U64" s="7" t="n">
        <f aca="false">T64-Supuestos!$C$15</f>
        <v>43.1540827988264</v>
      </c>
      <c r="V64" s="5" t="n">
        <f aca="false">SUMPRODUCT(--(MCS!$E$5:$E$14-$S64-MCS!$G$5:$G$14&gt;=Supuestos!$C$16))</f>
        <v>9</v>
      </c>
      <c r="W64" s="5" t="n">
        <f aca="false">SUMPRODUCT(--(MCS!$E$5:$E$14-Supuestos!$C$15-$S64-MCS!$G$5:$G$14&gt;=Supuestos!$C$16))</f>
        <v>9</v>
      </c>
      <c r="X64" s="6" t="str">
        <f aca="false">IF(V64=0,"ninguno",INDEX(MCS!$A$5:$A$14,V64))</f>
        <v>256QAM 3/4</v>
      </c>
      <c r="Y64" s="7" t="n">
        <f aca="false">IF(V64=0,0,INDEX(MCS!$F$5:$F$14,V64))</f>
        <v>173.333333333333</v>
      </c>
      <c r="Z64" s="7" t="n">
        <f aca="false">IF(W64=0,0,INDEX(MCS!$F$5:$F$14,W64))</f>
        <v>173.333333333333</v>
      </c>
      <c r="AA64" s="22" t="n">
        <f aca="false">IF(Y64&gt;0,Supuestos!$C$29*Supuestos!$C$30/(Supuestos!$C$17*Y64),0)</f>
        <v>0.00798816568047337</v>
      </c>
      <c r="AB64" s="22" t="n">
        <f aca="false">IF(Z64&gt;0,Supuestos!$C$29*Supuestos!$C$31/(Supuestos!$C$17*Z64),0)</f>
        <v>0.000998520710059172</v>
      </c>
    </row>
    <row r="65" customFormat="false" ht="15" hidden="false" customHeight="false" outlineLevel="0" collapsed="false">
      <c r="A65" s="13" t="n">
        <v>61</v>
      </c>
      <c r="B65" s="17" t="n">
        <v>120.2</v>
      </c>
      <c r="C65" s="18" t="n">
        <v>134.8</v>
      </c>
      <c r="D65" s="18" t="n">
        <v>209.8</v>
      </c>
      <c r="E65" s="19" t="n">
        <v>26</v>
      </c>
      <c r="F65" s="6" t="str">
        <f aca="false">IF(AND(B65&gt;=90,B65&lt;210),"S1",IF(AND(B65&gt;=210,B65&lt;330),"S2","S3"))</f>
        <v>S1</v>
      </c>
      <c r="G65" s="6" t="n">
        <f aca="false">IF(F65="S1",Supuestos!$C$26,IF(F65="S2",Supuestos!$C$27,Supuestos!$C$28))</f>
        <v>150</v>
      </c>
      <c r="H65" s="7" t="n">
        <f aca="false">MOD(B65-G65+180,360)-180</f>
        <v>-29.8</v>
      </c>
      <c r="I65" s="7" t="n">
        <f aca="false">Supuestos!$C$7-(D65-Supuestos!$C$8)-Supuestos!$C$9</f>
        <v>20.2</v>
      </c>
      <c r="J65" s="7" t="n">
        <f aca="false">SQRT(C65^2+I65^2)</f>
        <v>136.305098950846</v>
      </c>
      <c r="K65" s="20" t="n">
        <f aca="false">DEGREES(ATAN2(C65,I65))</f>
        <v>8.52245163198819</v>
      </c>
      <c r="L65" s="20" t="n">
        <f aca="false">K65-(Supuestos!$C$21+Supuestos!$C$22)</f>
        <v>4.52245163198819</v>
      </c>
      <c r="M65" s="7" t="n">
        <f aca="false">MIN(6*(2*H65/Supuestos!$C$20)^2,Supuestos!$C$24)</f>
        <v>1.13554051894081</v>
      </c>
      <c r="N65" s="21" t="n">
        <f aca="false">PI()*Supuestos!$C$23/Supuestos!$C$6*SIN(RADIANS(L65))</f>
        <v>1.75882842053853</v>
      </c>
      <c r="O65" s="7" t="n">
        <f aca="false">IF(ABS(N65)&lt;0.000000001,0,MIN(-20*LOG10(MAX(ABS(SIN(N65)/N65),0.000001)),Supuestos!$C$25))</f>
        <v>5.05893238809474</v>
      </c>
      <c r="P65" s="7" t="n">
        <f aca="false">Supuestos!$C$19-M65-O65</f>
        <v>9.30552709296446</v>
      </c>
      <c r="Q65" s="7" t="n">
        <f aca="false">32.44+20*LOG10(J65/1000)+20*LOG10(Supuestos!$C$5*1000)</f>
        <v>90.3988019189568</v>
      </c>
      <c r="R65" s="7" t="n">
        <f aca="false">IF(E65&lt;=0,0,IF(E65&lt;=14,0.45*Supuestos!$C$5^0.284*E65,1.33*Supuestos!$C$5^0.284*MIN(E65,400)^0.588))</f>
        <v>14.8822816623753</v>
      </c>
      <c r="S65" s="7" t="n">
        <f aca="false">Q65+R65+Supuestos!$C$12+Supuestos!$C$13+Supuestos!$C$11-P65-Supuestos!$C$10</f>
        <v>74.7755564883676</v>
      </c>
      <c r="T65" s="7" t="n">
        <f aca="false">MCS!$E$5-S65-MCS!$G$5</f>
        <v>46.2244435116324</v>
      </c>
      <c r="U65" s="7" t="n">
        <f aca="false">T65-Supuestos!$C$15</f>
        <v>43.2244435116324</v>
      </c>
      <c r="V65" s="5" t="n">
        <f aca="false">SUMPRODUCT(--(MCS!$E$5:$E$14-$S65-MCS!$G$5:$G$14&gt;=Supuestos!$C$16))</f>
        <v>9</v>
      </c>
      <c r="W65" s="5" t="n">
        <f aca="false">SUMPRODUCT(--(MCS!$E$5:$E$14-Supuestos!$C$15-$S65-MCS!$G$5:$G$14&gt;=Supuestos!$C$16))</f>
        <v>9</v>
      </c>
      <c r="X65" s="6" t="str">
        <f aca="false">IF(V65=0,"ninguno",INDEX(MCS!$A$5:$A$14,V65))</f>
        <v>256QAM 3/4</v>
      </c>
      <c r="Y65" s="7" t="n">
        <f aca="false">IF(V65=0,0,INDEX(MCS!$F$5:$F$14,V65))</f>
        <v>173.333333333333</v>
      </c>
      <c r="Z65" s="7" t="n">
        <f aca="false">IF(W65=0,0,INDEX(MCS!$F$5:$F$14,W65))</f>
        <v>173.333333333333</v>
      </c>
      <c r="AA65" s="22" t="n">
        <f aca="false">IF(Y65&gt;0,Supuestos!$C$29*Supuestos!$C$30/(Supuestos!$C$17*Y65),0)</f>
        <v>0.00798816568047337</v>
      </c>
      <c r="AB65" s="22" t="n">
        <f aca="false">IF(Z65&gt;0,Supuestos!$C$29*Supuestos!$C$31/(Supuestos!$C$17*Z65),0)</f>
        <v>0.000998520710059172</v>
      </c>
    </row>
    <row r="66" customFormat="false" ht="15" hidden="false" customHeight="false" outlineLevel="0" collapsed="false">
      <c r="A66" s="13" t="n">
        <v>62</v>
      </c>
      <c r="B66" s="17" t="n">
        <v>131.4</v>
      </c>
      <c r="C66" s="18" t="n">
        <v>103.5</v>
      </c>
      <c r="D66" s="18" t="n">
        <v>207.9</v>
      </c>
      <c r="E66" s="19" t="n">
        <v>6</v>
      </c>
      <c r="F66" s="6" t="str">
        <f aca="false">IF(AND(B66&gt;=90,B66&lt;210),"S1",IF(AND(B66&gt;=210,B66&lt;330),"S2","S3"))</f>
        <v>S1</v>
      </c>
      <c r="G66" s="6" t="n">
        <f aca="false">IF(F66="S1",Supuestos!$C$26,IF(F66="S2",Supuestos!$C$27,Supuestos!$C$28))</f>
        <v>150</v>
      </c>
      <c r="H66" s="7" t="n">
        <f aca="false">MOD(B66-G66+180,360)-180</f>
        <v>-18.6</v>
      </c>
      <c r="I66" s="7" t="n">
        <f aca="false">Supuestos!$C$7-(D66-Supuestos!$C$8)-Supuestos!$C$9</f>
        <v>22.1</v>
      </c>
      <c r="J66" s="7" t="n">
        <f aca="false">SQRT(C66^2+I66^2)</f>
        <v>105.833170603549</v>
      </c>
      <c r="K66" s="20" t="n">
        <f aca="false">DEGREES(ATAN2(C66,I66))</f>
        <v>12.0531644244723</v>
      </c>
      <c r="L66" s="20" t="n">
        <f aca="false">K66-(Supuestos!$C$21+Supuestos!$C$22)</f>
        <v>8.05316442447233</v>
      </c>
      <c r="M66" s="7" t="n">
        <f aca="false">MIN(6*(2*H66/Supuestos!$C$20)^2,Supuestos!$C$24)</f>
        <v>0.44238052107198</v>
      </c>
      <c r="N66" s="21" t="n">
        <f aca="false">PI()*Supuestos!$C$23/Supuestos!$C$6*SIN(RADIANS(L66))</f>
        <v>3.12490103895499</v>
      </c>
      <c r="O66" s="7" t="n">
        <f aca="false">IF(ABS(N66)&lt;0.000000001,0,MIN(-20*LOG10(MAX(ABS(SIN(N66)/N66),0.000001)),Supuestos!$C$25))</f>
        <v>25</v>
      </c>
      <c r="P66" s="7" t="n">
        <f aca="false">Supuestos!$C$19-M66-O66</f>
        <v>-9.94238052107198</v>
      </c>
      <c r="Q66" s="7" t="n">
        <f aca="false">32.44+20*LOG10(J66/1000)+20*LOG10(Supuestos!$C$5*1000)</f>
        <v>88.2009960139542</v>
      </c>
      <c r="R66" s="7" t="n">
        <f aca="false">IF(E66&lt;=0,0,IF(E66&lt;=14,0.45*Supuestos!$C$5^0.284*E66,1.33*Supuestos!$C$5^0.284*MIN(E66,400)^0.588))</f>
        <v>4.44812839180229</v>
      </c>
      <c r="S66" s="7" t="n">
        <f aca="false">Q66+R66+Supuestos!$C$12+Supuestos!$C$13+Supuestos!$C$11-P66-Supuestos!$C$10</f>
        <v>81.3915049268285</v>
      </c>
      <c r="T66" s="7" t="n">
        <f aca="false">MCS!$E$5-S66-MCS!$G$5</f>
        <v>39.6084950731715</v>
      </c>
      <c r="U66" s="7" t="n">
        <f aca="false">T66-Supuestos!$C$15</f>
        <v>36.6084950731715</v>
      </c>
      <c r="V66" s="5" t="n">
        <f aca="false">SUMPRODUCT(--(MCS!$E$5:$E$14-$S66-MCS!$G$5:$G$14&gt;=Supuestos!$C$16))</f>
        <v>8</v>
      </c>
      <c r="W66" s="5" t="n">
        <f aca="false">SUMPRODUCT(--(MCS!$E$5:$E$14-Supuestos!$C$15-$S66-MCS!$G$5:$G$14&gt;=Supuestos!$C$16))</f>
        <v>8</v>
      </c>
      <c r="X66" s="6" t="str">
        <f aca="false">IF(V66=0,"ninguno",INDEX(MCS!$A$5:$A$14,V66))</f>
        <v>64QAM 5/6</v>
      </c>
      <c r="Y66" s="7" t="n">
        <f aca="false">IF(V66=0,0,INDEX(MCS!$F$5:$F$14,V66))</f>
        <v>144.444444444444</v>
      </c>
      <c r="Z66" s="7" t="n">
        <f aca="false">IF(W66=0,0,INDEX(MCS!$F$5:$F$14,W66))</f>
        <v>144.444444444444</v>
      </c>
      <c r="AA66" s="22" t="n">
        <f aca="false">IF(Y66&gt;0,Supuestos!$C$29*Supuestos!$C$30/(Supuestos!$C$17*Y66),0)</f>
        <v>0.00958579881656805</v>
      </c>
      <c r="AB66" s="22" t="n">
        <f aca="false">IF(Z66&gt;0,Supuestos!$C$29*Supuestos!$C$31/(Supuestos!$C$17*Z66),0)</f>
        <v>0.00119822485207101</v>
      </c>
    </row>
    <row r="67" customFormat="false" ht="15" hidden="false" customHeight="false" outlineLevel="0" collapsed="false">
      <c r="A67" s="13" t="n">
        <v>63</v>
      </c>
      <c r="B67" s="17" t="n">
        <v>135</v>
      </c>
      <c r="C67" s="18" t="n">
        <v>124.1</v>
      </c>
      <c r="D67" s="18" t="n">
        <v>209</v>
      </c>
      <c r="E67" s="19" t="n">
        <v>10</v>
      </c>
      <c r="F67" s="6" t="str">
        <f aca="false">IF(AND(B67&gt;=90,B67&lt;210),"S1",IF(AND(B67&gt;=210,B67&lt;330),"S2","S3"))</f>
        <v>S1</v>
      </c>
      <c r="G67" s="6" t="n">
        <f aca="false">IF(F67="S1",Supuestos!$C$26,IF(F67="S2",Supuestos!$C$27,Supuestos!$C$28))</f>
        <v>150</v>
      </c>
      <c r="H67" s="7" t="n">
        <f aca="false">MOD(B67-G67+180,360)-180</f>
        <v>-15</v>
      </c>
      <c r="I67" s="7" t="n">
        <f aca="false">Supuestos!$C$7-(D67-Supuestos!$C$8)-Supuestos!$C$9</f>
        <v>21</v>
      </c>
      <c r="J67" s="7" t="n">
        <f aca="false">SQRT(C67^2+I67^2)</f>
        <v>125.864252272041</v>
      </c>
      <c r="K67" s="20" t="n">
        <f aca="false">DEGREES(ATAN2(C67,I67))</f>
        <v>9.60451363642891</v>
      </c>
      <c r="L67" s="20" t="n">
        <f aca="false">K67-(Supuestos!$C$21+Supuestos!$C$22)</f>
        <v>5.60451363642891</v>
      </c>
      <c r="M67" s="7" t="n">
        <f aca="false">MIN(6*(2*H67/Supuestos!$C$20)^2,Supuestos!$C$24)</f>
        <v>0.287708455431829</v>
      </c>
      <c r="N67" s="21" t="n">
        <f aca="false">PI()*Supuestos!$C$23/Supuestos!$C$6*SIN(RADIANS(L67))</f>
        <v>2.1784406598721</v>
      </c>
      <c r="O67" s="7" t="n">
        <f aca="false">IF(ABS(N67)&lt;0.000000001,0,MIN(-20*LOG10(MAX(ABS(SIN(N67)/N67),0.000001)),Supuestos!$C$25))</f>
        <v>8.47610203817359</v>
      </c>
      <c r="P67" s="7" t="n">
        <f aca="false">Supuestos!$C$19-M67-O67</f>
        <v>6.73618950639458</v>
      </c>
      <c r="Q67" s="7" t="n">
        <f aca="false">32.44+20*LOG10(J67/1000)+20*LOG10(Supuestos!$C$5*1000)</f>
        <v>89.7066078736573</v>
      </c>
      <c r="R67" s="7" t="n">
        <f aca="false">IF(E67&lt;=0,0,IF(E67&lt;=14,0.45*Supuestos!$C$5^0.284*E67,1.33*Supuestos!$C$5^0.284*MIN(E67,400)^0.588))</f>
        <v>7.41354731967048</v>
      </c>
      <c r="S67" s="7" t="n">
        <f aca="false">Q67+R67+Supuestos!$C$12+Supuestos!$C$13+Supuestos!$C$11-P67-Supuestos!$C$10</f>
        <v>69.1839656869332</v>
      </c>
      <c r="T67" s="7" t="n">
        <f aca="false">MCS!$E$5-S67-MCS!$G$5</f>
        <v>51.8160343130668</v>
      </c>
      <c r="U67" s="7" t="n">
        <f aca="false">T67-Supuestos!$C$15</f>
        <v>48.8160343130668</v>
      </c>
      <c r="V67" s="5" t="n">
        <f aca="false">SUMPRODUCT(--(MCS!$E$5:$E$14-$S67-MCS!$G$5:$G$14&gt;=Supuestos!$C$16))</f>
        <v>10</v>
      </c>
      <c r="W67" s="5" t="n">
        <f aca="false">SUMPRODUCT(--(MCS!$E$5:$E$14-Supuestos!$C$15-$S67-MCS!$G$5:$G$14&gt;=Supuestos!$C$16))</f>
        <v>10</v>
      </c>
      <c r="X67" s="6" t="str">
        <f aca="false">IF(V67=0,"ninguno",INDEX(MCS!$A$5:$A$14,V67))</f>
        <v>256QAM 5/6</v>
      </c>
      <c r="Y67" s="7" t="n">
        <f aca="false">IF(V67=0,0,INDEX(MCS!$F$5:$F$14,V67))</f>
        <v>192.592592592593</v>
      </c>
      <c r="Z67" s="7" t="n">
        <f aca="false">IF(W67=0,0,INDEX(MCS!$F$5:$F$14,W67))</f>
        <v>192.592592592593</v>
      </c>
      <c r="AA67" s="22" t="n">
        <f aca="false">IF(Y67&gt;0,Supuestos!$C$29*Supuestos!$C$30/(Supuestos!$C$17*Y67),0)</f>
        <v>0.00718934911242604</v>
      </c>
      <c r="AB67" s="22" t="n">
        <f aca="false">IF(Z67&gt;0,Supuestos!$C$29*Supuestos!$C$31/(Supuestos!$C$17*Z67),0)</f>
        <v>0.000898668639053254</v>
      </c>
    </row>
    <row r="68" customFormat="false" ht="15" hidden="false" customHeight="false" outlineLevel="0" collapsed="false">
      <c r="A68" s="13" t="n">
        <v>64</v>
      </c>
      <c r="B68" s="17" t="n">
        <v>178.9</v>
      </c>
      <c r="C68" s="18" t="n">
        <v>68</v>
      </c>
      <c r="D68" s="18" t="n">
        <v>206.1</v>
      </c>
      <c r="E68" s="19" t="n">
        <v>0</v>
      </c>
      <c r="F68" s="6" t="str">
        <f aca="false">IF(AND(B68&gt;=90,B68&lt;210),"S1",IF(AND(B68&gt;=210,B68&lt;330),"S2","S3"))</f>
        <v>S1</v>
      </c>
      <c r="G68" s="6" t="n">
        <f aca="false">IF(F68="S1",Supuestos!$C$26,IF(F68="S2",Supuestos!$C$27,Supuestos!$C$28))</f>
        <v>150</v>
      </c>
      <c r="H68" s="7" t="n">
        <f aca="false">MOD(B68-G68+180,360)-180</f>
        <v>28.9</v>
      </c>
      <c r="I68" s="7" t="n">
        <f aca="false">Supuestos!$C$7-(D68-Supuestos!$C$8)-Supuestos!$C$9</f>
        <v>23.9</v>
      </c>
      <c r="J68" s="7" t="n">
        <f aca="false">SQRT(C68^2+I68^2)</f>
        <v>72.0778051830104</v>
      </c>
      <c r="K68" s="20" t="n">
        <f aca="false">DEGREES(ATAN2(C68,I68))</f>
        <v>19.3650750239593</v>
      </c>
      <c r="L68" s="20" t="n">
        <f aca="false">K68-(Supuestos!$C$21+Supuestos!$C$22)</f>
        <v>15.3650750239593</v>
      </c>
      <c r="M68" s="7" t="n">
        <f aca="false">MIN(6*(2*H68/Supuestos!$C$20)^2,Supuestos!$C$24)</f>
        <v>1.06798657360541</v>
      </c>
      <c r="N68" s="21" t="n">
        <f aca="false">PI()*Supuestos!$C$23/Supuestos!$C$6*SIN(RADIANS(L68))</f>
        <v>5.91040590891648</v>
      </c>
      <c r="O68" s="7" t="n">
        <f aca="false">IF(ABS(N68)&lt;0.000000001,0,MIN(-20*LOG10(MAX(ABS(SIN(N68)/N68),0.000001)),Supuestos!$C$25))</f>
        <v>24.2054199546667</v>
      </c>
      <c r="P68" s="7" t="n">
        <f aca="false">Supuestos!$C$19-M68-O68</f>
        <v>-9.77340652827216</v>
      </c>
      <c r="Q68" s="7" t="n">
        <f aca="false">32.44+20*LOG10(J68/1000)+20*LOG10(Supuestos!$C$5*1000)</f>
        <v>84.8645909436034</v>
      </c>
      <c r="R68" s="7" t="n">
        <f aca="false">IF(E68&lt;=0,0,IF(E68&lt;=14,0.45*Supuestos!$C$5^0.284*E68,1.33*Supuestos!$C$5^0.284*MIN(E68,400)^0.588))</f>
        <v>0</v>
      </c>
      <c r="S68" s="7" t="n">
        <f aca="false">Q68+R68+Supuestos!$C$12+Supuestos!$C$13+Supuestos!$C$11-P68-Supuestos!$C$10</f>
        <v>73.4379974718756</v>
      </c>
      <c r="T68" s="7" t="n">
        <f aca="false">MCS!$E$5-S68-MCS!$G$5</f>
        <v>47.5620025281244</v>
      </c>
      <c r="U68" s="7" t="n">
        <f aca="false">T68-Supuestos!$C$15</f>
        <v>44.5620025281244</v>
      </c>
      <c r="V68" s="5" t="n">
        <f aca="false">SUMPRODUCT(--(MCS!$E$5:$E$14-$S68-MCS!$G$5:$G$14&gt;=Supuestos!$C$16))</f>
        <v>10</v>
      </c>
      <c r="W68" s="5" t="n">
        <f aca="false">SUMPRODUCT(--(MCS!$E$5:$E$14-Supuestos!$C$15-$S68-MCS!$G$5:$G$14&gt;=Supuestos!$C$16))</f>
        <v>9</v>
      </c>
      <c r="X68" s="6" t="str">
        <f aca="false">IF(V68=0,"ninguno",INDEX(MCS!$A$5:$A$14,V68))</f>
        <v>256QAM 5/6</v>
      </c>
      <c r="Y68" s="7" t="n">
        <f aca="false">IF(V68=0,0,INDEX(MCS!$F$5:$F$14,V68))</f>
        <v>192.592592592593</v>
      </c>
      <c r="Z68" s="7" t="n">
        <f aca="false">IF(W68=0,0,INDEX(MCS!$F$5:$F$14,W68))</f>
        <v>173.333333333333</v>
      </c>
      <c r="AA68" s="22" t="n">
        <f aca="false">IF(Y68&gt;0,Supuestos!$C$29*Supuestos!$C$30/(Supuestos!$C$17*Y68),0)</f>
        <v>0.00718934911242604</v>
      </c>
      <c r="AB68" s="22" t="n">
        <f aca="false">IF(Z68&gt;0,Supuestos!$C$29*Supuestos!$C$31/(Supuestos!$C$17*Z68),0)</f>
        <v>0.000998520710059172</v>
      </c>
    </row>
    <row r="69" customFormat="false" ht="15" hidden="false" customHeight="false" outlineLevel="0" collapsed="false">
      <c r="A69" s="13" t="n">
        <v>65</v>
      </c>
      <c r="B69" s="17" t="n">
        <v>174.6</v>
      </c>
      <c r="C69" s="18" t="n">
        <v>101.4</v>
      </c>
      <c r="D69" s="18" t="n">
        <v>207.1</v>
      </c>
      <c r="E69" s="19" t="n">
        <v>7</v>
      </c>
      <c r="F69" s="6" t="str">
        <f aca="false">IF(AND(B69&gt;=90,B69&lt;210),"S1",IF(AND(B69&gt;=210,B69&lt;330),"S2","S3"))</f>
        <v>S1</v>
      </c>
      <c r="G69" s="6" t="n">
        <f aca="false">IF(F69="S1",Supuestos!$C$26,IF(F69="S2",Supuestos!$C$27,Supuestos!$C$28))</f>
        <v>150</v>
      </c>
      <c r="H69" s="7" t="n">
        <f aca="false">MOD(B69-G69+180,360)-180</f>
        <v>24.6</v>
      </c>
      <c r="I69" s="7" t="n">
        <f aca="false">Supuestos!$C$7-(D69-Supuestos!$C$8)-Supuestos!$C$9</f>
        <v>22.9</v>
      </c>
      <c r="J69" s="7" t="n">
        <f aca="false">SQRT(C69^2+I69^2)</f>
        <v>103.953691613141</v>
      </c>
      <c r="K69" s="20" t="n">
        <f aca="false">DEGREES(ATAN2(C69,I69))</f>
        <v>12.7260899766563</v>
      </c>
      <c r="L69" s="20" t="n">
        <f aca="false">K69-(Supuestos!$C$21+Supuestos!$C$22)</f>
        <v>8.72608997665631</v>
      </c>
      <c r="M69" s="7" t="n">
        <f aca="false">MIN(6*(2*H69/Supuestos!$C$20)^2,Supuestos!$C$24)</f>
        <v>0.773820661729447</v>
      </c>
      <c r="N69" s="21" t="n">
        <f aca="false">PI()*Supuestos!$C$23/Supuestos!$C$6*SIN(RADIANS(L69))</f>
        <v>3.38407572726112</v>
      </c>
      <c r="O69" s="7" t="n">
        <f aca="false">IF(ABS(N69)&lt;0.000000001,0,MIN(-20*LOG10(MAX(ABS(SIN(N69)/N69),0.000001)),Supuestos!$C$25))</f>
        <v>22.980459225185</v>
      </c>
      <c r="P69" s="7" t="n">
        <f aca="false">Supuestos!$C$19-M69-O69</f>
        <v>-8.25427988691448</v>
      </c>
      <c r="Q69" s="7" t="n">
        <f aca="false">32.44+20*LOG10(J69/1000)+20*LOG10(Supuestos!$C$5*1000)</f>
        <v>88.0453582042042</v>
      </c>
      <c r="R69" s="7" t="n">
        <f aca="false">IF(E69&lt;=0,0,IF(E69&lt;=14,0.45*Supuestos!$C$5^0.284*E69,1.33*Supuestos!$C$5^0.284*MIN(E69,400)^0.588))</f>
        <v>5.18948312376934</v>
      </c>
      <c r="S69" s="7" t="n">
        <f aca="false">Q69+R69+Supuestos!$C$12+Supuestos!$C$13+Supuestos!$C$11-P69-Supuestos!$C$10</f>
        <v>80.289121214888</v>
      </c>
      <c r="T69" s="7" t="n">
        <f aca="false">MCS!$E$5-S69-MCS!$G$5</f>
        <v>40.710878785112</v>
      </c>
      <c r="U69" s="7" t="n">
        <f aca="false">T69-Supuestos!$C$15</f>
        <v>37.710878785112</v>
      </c>
      <c r="V69" s="5" t="n">
        <f aca="false">SUMPRODUCT(--(MCS!$E$5:$E$14-$S69-MCS!$G$5:$G$14&gt;=Supuestos!$C$16))</f>
        <v>8</v>
      </c>
      <c r="W69" s="5" t="n">
        <f aca="false">SUMPRODUCT(--(MCS!$E$5:$E$14-Supuestos!$C$15-$S69-MCS!$G$5:$G$14&gt;=Supuestos!$C$16))</f>
        <v>8</v>
      </c>
      <c r="X69" s="6" t="str">
        <f aca="false">IF(V69=0,"ninguno",INDEX(MCS!$A$5:$A$14,V69))</f>
        <v>64QAM 5/6</v>
      </c>
      <c r="Y69" s="7" t="n">
        <f aca="false">IF(V69=0,0,INDEX(MCS!$F$5:$F$14,V69))</f>
        <v>144.444444444444</v>
      </c>
      <c r="Z69" s="7" t="n">
        <f aca="false">IF(W69=0,0,INDEX(MCS!$F$5:$F$14,W69))</f>
        <v>144.444444444444</v>
      </c>
      <c r="AA69" s="22" t="n">
        <f aca="false">IF(Y69&gt;0,Supuestos!$C$29*Supuestos!$C$30/(Supuestos!$C$17*Y69),0)</f>
        <v>0.00958579881656805</v>
      </c>
      <c r="AB69" s="22" t="n">
        <f aca="false">IF(Z69&gt;0,Supuestos!$C$29*Supuestos!$C$31/(Supuestos!$C$17*Z69),0)</f>
        <v>0.00119822485207101</v>
      </c>
    </row>
    <row r="70" customFormat="false" ht="15" hidden="false" customHeight="false" outlineLevel="0" collapsed="false">
      <c r="A70" s="13" t="n">
        <v>66</v>
      </c>
      <c r="B70" s="17" t="n">
        <v>163.8</v>
      </c>
      <c r="C70" s="18" t="n">
        <v>102.9</v>
      </c>
      <c r="D70" s="18" t="n">
        <v>207.4</v>
      </c>
      <c r="E70" s="19" t="n">
        <v>18</v>
      </c>
      <c r="F70" s="6" t="str">
        <f aca="false">IF(AND(B70&gt;=90,B70&lt;210),"S1",IF(AND(B70&gt;=210,B70&lt;330),"S2","S3"))</f>
        <v>S1</v>
      </c>
      <c r="G70" s="6" t="n">
        <f aca="false">IF(F70="S1",Supuestos!$C$26,IF(F70="S2",Supuestos!$C$27,Supuestos!$C$28))</f>
        <v>150</v>
      </c>
      <c r="H70" s="7" t="n">
        <f aca="false">MOD(B70-G70+180,360)-180</f>
        <v>13.8</v>
      </c>
      <c r="I70" s="7" t="n">
        <f aca="false">Supuestos!$C$7-(D70-Supuestos!$C$8)-Supuestos!$C$9</f>
        <v>22.6</v>
      </c>
      <c r="J70" s="7" t="n">
        <f aca="false">SQRT(C70^2+I70^2)</f>
        <v>105.352598449208</v>
      </c>
      <c r="K70" s="20" t="n">
        <f aca="false">DEGREES(ATAN2(C70,I70))</f>
        <v>12.3872349808693</v>
      </c>
      <c r="L70" s="20" t="n">
        <f aca="false">K70-(Supuestos!$C$21+Supuestos!$C$22)</f>
        <v>8.38723498086933</v>
      </c>
      <c r="M70" s="7" t="n">
        <f aca="false">MIN(6*(2*H70/Supuestos!$C$20)^2,Supuestos!$C$24)</f>
        <v>0.243516436677501</v>
      </c>
      <c r="N70" s="21" t="n">
        <f aca="false">PI()*Supuestos!$C$23/Supuestos!$C$6*SIN(RADIANS(L70))</f>
        <v>3.25362313689647</v>
      </c>
      <c r="O70" s="7" t="n">
        <f aca="false">IF(ABS(N70)&lt;0.000000001,0,MIN(-20*LOG10(MAX(ABS(SIN(N70)/N70),0.000001)),Supuestos!$C$25))</f>
        <v>25</v>
      </c>
      <c r="P70" s="7" t="n">
        <f aca="false">Supuestos!$C$19-M70-O70</f>
        <v>-9.7435164366775</v>
      </c>
      <c r="Q70" s="7" t="n">
        <f aca="false">32.44+20*LOG10(J70/1000)+20*LOG10(Supuestos!$C$5*1000)</f>
        <v>88.1614649042627</v>
      </c>
      <c r="R70" s="7" t="n">
        <f aca="false">IF(E70&lt;=0,0,IF(E70&lt;=14,0.45*Supuestos!$C$5^0.284*E70,1.33*Supuestos!$C$5^0.284*MIN(E70,400)^0.588))</f>
        <v>11.9885159147658</v>
      </c>
      <c r="S70" s="7" t="n">
        <f aca="false">Q70+R70+Supuestos!$C$12+Supuestos!$C$13+Supuestos!$C$11-P70-Supuestos!$C$10</f>
        <v>88.693497255706</v>
      </c>
      <c r="T70" s="7" t="n">
        <f aca="false">MCS!$E$5-S70-MCS!$G$5</f>
        <v>32.306502744294</v>
      </c>
      <c r="U70" s="7" t="n">
        <f aca="false">T70-Supuestos!$C$15</f>
        <v>29.306502744294</v>
      </c>
      <c r="V70" s="5" t="n">
        <f aca="false">SUMPRODUCT(--(MCS!$E$5:$E$14-$S70-MCS!$G$5:$G$14&gt;=Supuestos!$C$16))</f>
        <v>7</v>
      </c>
      <c r="W70" s="5" t="n">
        <f aca="false">SUMPRODUCT(--(MCS!$E$5:$E$14-Supuestos!$C$15-$S70-MCS!$G$5:$G$14&gt;=Supuestos!$C$16))</f>
        <v>6</v>
      </c>
      <c r="X70" s="6" t="str">
        <f aca="false">IF(V70=0,"ninguno",INDEX(MCS!$A$5:$A$14,V70))</f>
        <v>64QAM 3/4</v>
      </c>
      <c r="Y70" s="7" t="n">
        <f aca="false">IF(V70=0,0,INDEX(MCS!$F$5:$F$14,V70))</f>
        <v>130</v>
      </c>
      <c r="Z70" s="7" t="n">
        <f aca="false">IF(W70=0,0,INDEX(MCS!$F$5:$F$14,W70))</f>
        <v>115.555555555556</v>
      </c>
      <c r="AA70" s="22" t="n">
        <f aca="false">IF(Y70&gt;0,Supuestos!$C$29*Supuestos!$C$30/(Supuestos!$C$17*Y70),0)</f>
        <v>0.0106508875739645</v>
      </c>
      <c r="AB70" s="22" t="n">
        <f aca="false">IF(Z70&gt;0,Supuestos!$C$29*Supuestos!$C$31/(Supuestos!$C$17*Z70),0)</f>
        <v>0.00149778106508876</v>
      </c>
    </row>
    <row r="71" customFormat="false" ht="15" hidden="false" customHeight="false" outlineLevel="0" collapsed="false">
      <c r="A71" s="13" t="n">
        <v>67</v>
      </c>
      <c r="B71" s="17" t="n">
        <v>156.7</v>
      </c>
      <c r="C71" s="18" t="n">
        <v>104.2</v>
      </c>
      <c r="D71" s="18" t="n">
        <v>207.6</v>
      </c>
      <c r="E71" s="19" t="n">
        <v>38</v>
      </c>
      <c r="F71" s="6" t="str">
        <f aca="false">IF(AND(B71&gt;=90,B71&lt;210),"S1",IF(AND(B71&gt;=210,B71&lt;330),"S2","S3"))</f>
        <v>S1</v>
      </c>
      <c r="G71" s="6" t="n">
        <f aca="false">IF(F71="S1",Supuestos!$C$26,IF(F71="S2",Supuestos!$C$27,Supuestos!$C$28))</f>
        <v>150</v>
      </c>
      <c r="H71" s="7" t="n">
        <f aca="false">MOD(B71-G71+180,360)-180</f>
        <v>6.69999999999999</v>
      </c>
      <c r="I71" s="7" t="n">
        <f aca="false">Supuestos!$C$7-(D71-Supuestos!$C$8)-Supuestos!$C$9</f>
        <v>22.4</v>
      </c>
      <c r="J71" s="7" t="n">
        <f aca="false">SQRT(C71^2+I71^2)</f>
        <v>106.580486018783</v>
      </c>
      <c r="K71" s="20" t="n">
        <f aca="false">DEGREES(ATAN2(C71,I71))</f>
        <v>12.1323034540184</v>
      </c>
      <c r="L71" s="20" t="n">
        <f aca="false">K71-(Supuestos!$C$21+Supuestos!$C$22)</f>
        <v>8.1323034540184</v>
      </c>
      <c r="M71" s="7" t="n">
        <f aca="false">MIN(6*(2*H71/Supuestos!$C$20)^2,Supuestos!$C$24)</f>
        <v>0.0574010336192656</v>
      </c>
      <c r="N71" s="21" t="n">
        <f aca="false">PI()*Supuestos!$C$23/Supuestos!$C$6*SIN(RADIANS(L71))</f>
        <v>3.15540418882647</v>
      </c>
      <c r="O71" s="7" t="n">
        <f aca="false">IF(ABS(N71)&lt;0.000000001,0,MIN(-20*LOG10(MAX(ABS(SIN(N71)/N71),0.000001)),Supuestos!$C$25))</f>
        <v>25</v>
      </c>
      <c r="P71" s="7" t="n">
        <f aca="false">Supuestos!$C$19-M71-O71</f>
        <v>-9.55740103361927</v>
      </c>
      <c r="Q71" s="7" t="n">
        <f aca="false">32.44+20*LOG10(J71/1000)+20*LOG10(Supuestos!$C$5*1000)</f>
        <v>88.2621137980626</v>
      </c>
      <c r="R71" s="7" t="n">
        <f aca="false">IF(E71&lt;=0,0,IF(E71&lt;=14,0.45*Supuestos!$C$5^0.284*E71,1.33*Supuestos!$C$5^0.284*MIN(E71,400)^0.588))</f>
        <v>18.6027841078903</v>
      </c>
      <c r="S71" s="7" t="n">
        <f aca="false">Q71+R71+Supuestos!$C$12+Supuestos!$C$13+Supuestos!$C$11-P71-Supuestos!$C$10</f>
        <v>95.2222989395722</v>
      </c>
      <c r="T71" s="7" t="n">
        <f aca="false">MCS!$E$5-S71-MCS!$G$5</f>
        <v>25.7777010604278</v>
      </c>
      <c r="U71" s="7" t="n">
        <f aca="false">T71-Supuestos!$C$15</f>
        <v>22.7777010604278</v>
      </c>
      <c r="V71" s="5" t="n">
        <f aca="false">SUMPRODUCT(--(MCS!$E$5:$E$14-$S71-MCS!$G$5:$G$14&gt;=Supuestos!$C$16))</f>
        <v>6</v>
      </c>
      <c r="W71" s="5" t="n">
        <f aca="false">SUMPRODUCT(--(MCS!$E$5:$E$14-Supuestos!$C$15-$S71-MCS!$G$5:$G$14&gt;=Supuestos!$C$16))</f>
        <v>5</v>
      </c>
      <c r="X71" s="6" t="str">
        <f aca="false">IF(V71=0,"ninguno",INDEX(MCS!$A$5:$A$14,V71))</f>
        <v>64QAM 2/3</v>
      </c>
      <c r="Y71" s="7" t="n">
        <f aca="false">IF(V71=0,0,INDEX(MCS!$F$5:$F$14,V71))</f>
        <v>115.555555555556</v>
      </c>
      <c r="Z71" s="7" t="n">
        <f aca="false">IF(W71=0,0,INDEX(MCS!$F$5:$F$14,W71))</f>
        <v>86.6666666666667</v>
      </c>
      <c r="AA71" s="22" t="n">
        <f aca="false">IF(Y71&gt;0,Supuestos!$C$29*Supuestos!$C$30/(Supuestos!$C$17*Y71),0)</f>
        <v>0.0119822485207101</v>
      </c>
      <c r="AB71" s="22" t="n">
        <f aca="false">IF(Z71&gt;0,Supuestos!$C$29*Supuestos!$C$31/(Supuestos!$C$17*Z71),0)</f>
        <v>0.00199704142011834</v>
      </c>
    </row>
    <row r="72" customFormat="false" ht="15" hidden="false" customHeight="false" outlineLevel="0" collapsed="false">
      <c r="A72" s="13" t="n">
        <v>68</v>
      </c>
      <c r="B72" s="17" t="n">
        <v>166.3</v>
      </c>
      <c r="C72" s="18" t="n">
        <v>137.5</v>
      </c>
      <c r="D72" s="18" t="n">
        <v>209.4</v>
      </c>
      <c r="E72" s="19" t="n">
        <v>18</v>
      </c>
      <c r="F72" s="6" t="str">
        <f aca="false">IF(AND(B72&gt;=90,B72&lt;210),"S1",IF(AND(B72&gt;=210,B72&lt;330),"S2","S3"))</f>
        <v>S1</v>
      </c>
      <c r="G72" s="6" t="n">
        <f aca="false">IF(F72="S1",Supuestos!$C$26,IF(F72="S2",Supuestos!$C$27,Supuestos!$C$28))</f>
        <v>150</v>
      </c>
      <c r="H72" s="7" t="n">
        <f aca="false">MOD(B72-G72+180,360)-180</f>
        <v>16.3</v>
      </c>
      <c r="I72" s="7" t="n">
        <f aca="false">Supuestos!$C$7-(D72-Supuestos!$C$8)-Supuestos!$C$9</f>
        <v>20.6</v>
      </c>
      <c r="J72" s="7" t="n">
        <f aca="false">SQRT(C72^2+I72^2)</f>
        <v>139.034564047937</v>
      </c>
      <c r="K72" s="20" t="n">
        <f aca="false">DEGREES(ATAN2(C72,I72))</f>
        <v>8.5205771579051</v>
      </c>
      <c r="L72" s="20" t="n">
        <f aca="false">K72-(Supuestos!$C$21+Supuestos!$C$22)</f>
        <v>4.5205771579051</v>
      </c>
      <c r="M72" s="7" t="n">
        <f aca="false">MIN(6*(2*H72/Supuestos!$C$20)^2,Supuestos!$C$24)</f>
        <v>0.339738931216368</v>
      </c>
      <c r="N72" s="21" t="n">
        <f aca="false">PI()*Supuestos!$C$23/Supuestos!$C$6*SIN(RADIANS(L72))</f>
        <v>1.75810093172877</v>
      </c>
      <c r="O72" s="7" t="n">
        <f aca="false">IF(ABS(N72)&lt;0.000000001,0,MIN(-20*LOG10(MAX(ABS(SIN(N72)/N72),0.000001)),Supuestos!$C$25))</f>
        <v>5.05413900044581</v>
      </c>
      <c r="P72" s="7" t="n">
        <f aca="false">Supuestos!$C$19-M72-O72</f>
        <v>10.1061220683378</v>
      </c>
      <c r="Q72" s="7" t="n">
        <f aca="false">32.44+20*LOG10(J72/1000)+20*LOG10(Supuestos!$C$5*1000)</f>
        <v>90.5710154604082</v>
      </c>
      <c r="R72" s="7" t="n">
        <f aca="false">IF(E72&lt;=0,0,IF(E72&lt;=14,0.45*Supuestos!$C$5^0.284*E72,1.33*Supuestos!$C$5^0.284*MIN(E72,400)^0.588))</f>
        <v>11.9885159147658</v>
      </c>
      <c r="S72" s="7" t="n">
        <f aca="false">Q72+R72+Supuestos!$C$12+Supuestos!$C$13+Supuestos!$C$11-P72-Supuestos!$C$10</f>
        <v>71.2534093068362</v>
      </c>
      <c r="T72" s="7" t="n">
        <f aca="false">MCS!$E$5-S72-MCS!$G$5</f>
        <v>49.7465906931638</v>
      </c>
      <c r="U72" s="7" t="n">
        <f aca="false">T72-Supuestos!$C$15</f>
        <v>46.7465906931638</v>
      </c>
      <c r="V72" s="5" t="n">
        <f aca="false">SUMPRODUCT(--(MCS!$E$5:$E$14-$S72-MCS!$G$5:$G$14&gt;=Supuestos!$C$16))</f>
        <v>10</v>
      </c>
      <c r="W72" s="5" t="n">
        <f aca="false">SUMPRODUCT(--(MCS!$E$5:$E$14-Supuestos!$C$15-$S72-MCS!$G$5:$G$14&gt;=Supuestos!$C$16))</f>
        <v>9</v>
      </c>
      <c r="X72" s="6" t="str">
        <f aca="false">IF(V72=0,"ninguno",INDEX(MCS!$A$5:$A$14,V72))</f>
        <v>256QAM 5/6</v>
      </c>
      <c r="Y72" s="7" t="n">
        <f aca="false">IF(V72=0,0,INDEX(MCS!$F$5:$F$14,V72))</f>
        <v>192.592592592593</v>
      </c>
      <c r="Z72" s="7" t="n">
        <f aca="false">IF(W72=0,0,INDEX(MCS!$F$5:$F$14,W72))</f>
        <v>173.333333333333</v>
      </c>
      <c r="AA72" s="22" t="n">
        <f aca="false">IF(Y72&gt;0,Supuestos!$C$29*Supuestos!$C$30/(Supuestos!$C$17*Y72),0)</f>
        <v>0.00718934911242604</v>
      </c>
      <c r="AB72" s="22" t="n">
        <f aca="false">IF(Z72&gt;0,Supuestos!$C$29*Supuestos!$C$31/(Supuestos!$C$17*Z72),0)</f>
        <v>0.000998520710059172</v>
      </c>
    </row>
    <row r="73" customFormat="false" ht="15" hidden="false" customHeight="false" outlineLevel="0" collapsed="false">
      <c r="A73" s="13" t="n">
        <v>69</v>
      </c>
      <c r="B73" s="17" t="n">
        <v>149.7</v>
      </c>
      <c r="C73" s="18" t="n">
        <v>127.7</v>
      </c>
      <c r="D73" s="18" t="n">
        <v>209.1</v>
      </c>
      <c r="E73" s="19" t="n">
        <v>36</v>
      </c>
      <c r="F73" s="6" t="str">
        <f aca="false">IF(AND(B73&gt;=90,B73&lt;210),"S1",IF(AND(B73&gt;=210,B73&lt;330),"S2","S3"))</f>
        <v>S1</v>
      </c>
      <c r="G73" s="6" t="n">
        <f aca="false">IF(F73="S1",Supuestos!$C$26,IF(F73="S2",Supuestos!$C$27,Supuestos!$C$28))</f>
        <v>150</v>
      </c>
      <c r="H73" s="7" t="n">
        <f aca="false">MOD(B73-G73+180,360)-180</f>
        <v>-0.300000000000011</v>
      </c>
      <c r="I73" s="7" t="n">
        <f aca="false">Supuestos!$C$7-(D73-Supuestos!$C$8)-Supuestos!$C$9</f>
        <v>20.9</v>
      </c>
      <c r="J73" s="7" t="n">
        <f aca="false">SQRT(C73^2+I73^2)</f>
        <v>129.398995359315</v>
      </c>
      <c r="K73" s="20" t="n">
        <f aca="false">DEGREES(ATAN2(C73,I73))</f>
        <v>9.29489758878916</v>
      </c>
      <c r="L73" s="20" t="n">
        <f aca="false">K73-(Supuestos!$C$21+Supuestos!$C$22)</f>
        <v>5.29489758878916</v>
      </c>
      <c r="M73" s="7" t="n">
        <f aca="false">MIN(6*(2*H73/Supuestos!$C$20)^2,Supuestos!$C$24)</f>
        <v>0.00011508338217274</v>
      </c>
      <c r="N73" s="21" t="n">
        <f aca="false">PI()*Supuestos!$C$23/Supuestos!$C$6*SIN(RADIANS(L73))</f>
        <v>2.0584476227464</v>
      </c>
      <c r="O73" s="7" t="n">
        <f aca="false">IF(ABS(N73)&lt;0.000000001,0,MIN(-20*LOG10(MAX(ABS(SIN(N73)/N73),0.000001)),Supuestos!$C$25))</f>
        <v>7.3472966764568</v>
      </c>
      <c r="P73" s="7" t="n">
        <f aca="false">Supuestos!$C$19-M73-O73</f>
        <v>8.15258824016103</v>
      </c>
      <c r="Q73" s="7" t="n">
        <f aca="false">32.44+20*LOG10(J73/1000)+20*LOG10(Supuestos!$C$5*1000)</f>
        <v>89.9471779618073</v>
      </c>
      <c r="R73" s="7" t="n">
        <f aca="false">IF(E73&lt;=0,0,IF(E73&lt;=14,0.45*Supuestos!$C$5^0.284*E73,1.33*Supuestos!$C$5^0.284*MIN(E73,400)^0.588))</f>
        <v>18.0206753022519</v>
      </c>
      <c r="S73" s="7" t="n">
        <f aca="false">Q73+R73+Supuestos!$C$12+Supuestos!$C$13+Supuestos!$C$11-P73-Supuestos!$C$10</f>
        <v>78.6152650238982</v>
      </c>
      <c r="T73" s="7" t="n">
        <f aca="false">MCS!$E$5-S73-MCS!$G$5</f>
        <v>42.3847349761018</v>
      </c>
      <c r="U73" s="7" t="n">
        <f aca="false">T73-Supuestos!$C$15</f>
        <v>39.3847349761018</v>
      </c>
      <c r="V73" s="5" t="n">
        <f aca="false">SUMPRODUCT(--(MCS!$E$5:$E$14-$S73-MCS!$G$5:$G$14&gt;=Supuestos!$C$16))</f>
        <v>9</v>
      </c>
      <c r="W73" s="5" t="n">
        <f aca="false">SUMPRODUCT(--(MCS!$E$5:$E$14-Supuestos!$C$15-$S73-MCS!$G$5:$G$14&gt;=Supuestos!$C$16))</f>
        <v>8</v>
      </c>
      <c r="X73" s="6" t="str">
        <f aca="false">IF(V73=0,"ninguno",INDEX(MCS!$A$5:$A$14,V73))</f>
        <v>256QAM 3/4</v>
      </c>
      <c r="Y73" s="7" t="n">
        <f aca="false">IF(V73=0,0,INDEX(MCS!$F$5:$F$14,V73))</f>
        <v>173.333333333333</v>
      </c>
      <c r="Z73" s="7" t="n">
        <f aca="false">IF(W73=0,0,INDEX(MCS!$F$5:$F$14,W73))</f>
        <v>144.444444444444</v>
      </c>
      <c r="AA73" s="22" t="n">
        <f aca="false">IF(Y73&gt;0,Supuestos!$C$29*Supuestos!$C$30/(Supuestos!$C$17*Y73),0)</f>
        <v>0.00798816568047337</v>
      </c>
      <c r="AB73" s="22" t="n">
        <f aca="false">IF(Z73&gt;0,Supuestos!$C$29*Supuestos!$C$31/(Supuestos!$C$17*Z73),0)</f>
        <v>0.00119822485207101</v>
      </c>
    </row>
    <row r="74" customFormat="false" ht="15" hidden="false" customHeight="false" outlineLevel="0" collapsed="false">
      <c r="A74" s="13" t="n">
        <v>70</v>
      </c>
      <c r="B74" s="17" t="n">
        <v>183.2</v>
      </c>
      <c r="C74" s="18" t="n">
        <v>137.3</v>
      </c>
      <c r="D74" s="18" t="n">
        <v>208.5</v>
      </c>
      <c r="E74" s="19" t="n">
        <v>7</v>
      </c>
      <c r="F74" s="6" t="str">
        <f aca="false">IF(AND(B74&gt;=90,B74&lt;210),"S1",IF(AND(B74&gt;=210,B74&lt;330),"S2","S3"))</f>
        <v>S1</v>
      </c>
      <c r="G74" s="6" t="n">
        <f aca="false">IF(F74="S1",Supuestos!$C$26,IF(F74="S2",Supuestos!$C$27,Supuestos!$C$28))</f>
        <v>150</v>
      </c>
      <c r="H74" s="7" t="n">
        <f aca="false">MOD(B74-G74+180,360)-180</f>
        <v>33.2</v>
      </c>
      <c r="I74" s="7" t="n">
        <f aca="false">Supuestos!$C$7-(D74-Supuestos!$C$8)-Supuestos!$C$9</f>
        <v>21.5</v>
      </c>
      <c r="J74" s="7" t="n">
        <f aca="false">SQRT(C74^2+I74^2)</f>
        <v>138.973162876866</v>
      </c>
      <c r="K74" s="20" t="n">
        <f aca="false">DEGREES(ATAN2(C74,I74))</f>
        <v>8.89975307558036</v>
      </c>
      <c r="L74" s="20" t="n">
        <f aca="false">K74-(Supuestos!$C$21+Supuestos!$C$22)</f>
        <v>4.89975307558036</v>
      </c>
      <c r="M74" s="7" t="n">
        <f aca="false">MIN(6*(2*H74/Supuestos!$C$20)^2,Supuestos!$C$24)</f>
        <v>1.40943896851191</v>
      </c>
      <c r="N74" s="21" t="n">
        <f aca="false">PI()*Supuestos!$C$23/Supuestos!$C$6*SIN(RADIANS(L74))</f>
        <v>1.905220818646</v>
      </c>
      <c r="O74" s="7" t="n">
        <f aca="false">IF(ABS(N74)&lt;0.000000001,0,MIN(-20*LOG10(MAX(ABS(SIN(N74)/N74),0.000001)),Supuestos!$C$25))</f>
        <v>6.09395340603443</v>
      </c>
      <c r="P74" s="7" t="n">
        <f aca="false">Supuestos!$C$19-M74-O74</f>
        <v>7.99660762545366</v>
      </c>
      <c r="Q74" s="7" t="n">
        <f aca="false">32.44+20*LOG10(J74/1000)+20*LOG10(Supuestos!$C$5*1000)</f>
        <v>90.5671787051486</v>
      </c>
      <c r="R74" s="7" t="n">
        <f aca="false">IF(E74&lt;=0,0,IF(E74&lt;=14,0.45*Supuestos!$C$5^0.284*E74,1.33*Supuestos!$C$5^0.284*MIN(E74,400)^0.588))</f>
        <v>5.18948312376934</v>
      </c>
      <c r="S74" s="7" t="n">
        <f aca="false">Q74+R74+Supuestos!$C$12+Supuestos!$C$13+Supuestos!$C$11-P74-Supuestos!$C$10</f>
        <v>66.5600542034643</v>
      </c>
      <c r="T74" s="7" t="n">
        <f aca="false">MCS!$E$5-S74-MCS!$G$5</f>
        <v>54.4399457965357</v>
      </c>
      <c r="U74" s="7" t="n">
        <f aca="false">T74-Supuestos!$C$15</f>
        <v>51.4399457965357</v>
      </c>
      <c r="V74" s="5" t="n">
        <f aca="false">SUMPRODUCT(--(MCS!$E$5:$E$14-$S74-MCS!$G$5:$G$14&gt;=Supuestos!$C$16))</f>
        <v>10</v>
      </c>
      <c r="W74" s="5" t="n">
        <f aca="false">SUMPRODUCT(--(MCS!$E$5:$E$14-Supuestos!$C$15-$S74-MCS!$G$5:$G$14&gt;=Supuestos!$C$16))</f>
        <v>10</v>
      </c>
      <c r="X74" s="6" t="str">
        <f aca="false">IF(V74=0,"ninguno",INDEX(MCS!$A$5:$A$14,V74))</f>
        <v>256QAM 5/6</v>
      </c>
      <c r="Y74" s="7" t="n">
        <f aca="false">IF(V74=0,0,INDEX(MCS!$F$5:$F$14,V74))</f>
        <v>192.592592592593</v>
      </c>
      <c r="Z74" s="7" t="n">
        <f aca="false">IF(W74=0,0,INDEX(MCS!$F$5:$F$14,W74))</f>
        <v>192.592592592593</v>
      </c>
      <c r="AA74" s="22" t="n">
        <f aca="false">IF(Y74&gt;0,Supuestos!$C$29*Supuestos!$C$30/(Supuestos!$C$17*Y74),0)</f>
        <v>0.00718934911242604</v>
      </c>
      <c r="AB74" s="22" t="n">
        <f aca="false">IF(Z74&gt;0,Supuestos!$C$29*Supuestos!$C$31/(Supuestos!$C$17*Z74),0)</f>
        <v>0.000898668639053254</v>
      </c>
    </row>
    <row r="75" customFormat="false" ht="15" hidden="false" customHeight="false" outlineLevel="0" collapsed="false">
      <c r="A75" s="13" t="n">
        <v>71</v>
      </c>
      <c r="B75" s="17" t="n">
        <v>196.3</v>
      </c>
      <c r="C75" s="18" t="n">
        <v>116</v>
      </c>
      <c r="D75" s="18" t="n">
        <v>206.9</v>
      </c>
      <c r="E75" s="19" t="n">
        <v>13</v>
      </c>
      <c r="F75" s="6" t="str">
        <f aca="false">IF(AND(B75&gt;=90,B75&lt;210),"S1",IF(AND(B75&gt;=210,B75&lt;330),"S2","S3"))</f>
        <v>S1</v>
      </c>
      <c r="G75" s="6" t="n">
        <f aca="false">IF(F75="S1",Supuestos!$C$26,IF(F75="S2",Supuestos!$C$27,Supuestos!$C$28))</f>
        <v>150</v>
      </c>
      <c r="H75" s="7" t="n">
        <f aca="false">MOD(B75-G75+180,360)-180</f>
        <v>46.3</v>
      </c>
      <c r="I75" s="7" t="n">
        <f aca="false">Supuestos!$C$7-(D75-Supuestos!$C$8)-Supuestos!$C$9</f>
        <v>23.1</v>
      </c>
      <c r="J75" s="7" t="n">
        <f aca="false">SQRT(C75^2+I75^2)</f>
        <v>118.277681749348</v>
      </c>
      <c r="K75" s="20" t="n">
        <f aca="false">DEGREES(ATAN2(C75,I75))</f>
        <v>11.2624314241229</v>
      </c>
      <c r="L75" s="20" t="n">
        <f aca="false">K75-(Supuestos!$C$21+Supuestos!$C$22)</f>
        <v>7.26243142412287</v>
      </c>
      <c r="M75" s="7" t="n">
        <f aca="false">MIN(6*(2*H75/Supuestos!$C$20)^2,Supuestos!$C$24)</f>
        <v>2.74114550588737</v>
      </c>
      <c r="N75" s="21" t="n">
        <f aca="false">PI()*Supuestos!$C$23/Supuestos!$C$6*SIN(RADIANS(L75))</f>
        <v>2.81980509445536</v>
      </c>
      <c r="O75" s="7" t="n">
        <f aca="false">IF(ABS(N75)&lt;0.000000001,0,MIN(-20*LOG10(MAX(ABS(SIN(N75)/N75),0.000001)),Supuestos!$C$25))</f>
        <v>19.0034176188045</v>
      </c>
      <c r="P75" s="7" t="n">
        <f aca="false">Supuestos!$C$19-M75-O75</f>
        <v>-6.24456312469189</v>
      </c>
      <c r="Q75" s="7" t="n">
        <f aca="false">32.44+20*LOG10(J75/1000)+20*LOG10(Supuestos!$C$5*1000)</f>
        <v>89.1666159459777</v>
      </c>
      <c r="R75" s="7" t="n">
        <f aca="false">IF(E75&lt;=0,0,IF(E75&lt;=14,0.45*Supuestos!$C$5^0.284*E75,1.33*Supuestos!$C$5^0.284*MIN(E75,400)^0.588))</f>
        <v>9.63761151557163</v>
      </c>
      <c r="S75" s="7" t="n">
        <f aca="false">Q75+R75+Supuestos!$C$12+Supuestos!$C$13+Supuestos!$C$11-P75-Supuestos!$C$10</f>
        <v>83.8487905862412</v>
      </c>
      <c r="T75" s="7" t="n">
        <f aca="false">MCS!$E$5-S75-MCS!$G$5</f>
        <v>37.1512094137588</v>
      </c>
      <c r="U75" s="7" t="n">
        <f aca="false">T75-Supuestos!$C$15</f>
        <v>34.1512094137588</v>
      </c>
      <c r="V75" s="5" t="n">
        <f aca="false">SUMPRODUCT(--(MCS!$E$5:$E$14-$S75-MCS!$G$5:$G$14&gt;=Supuestos!$C$16))</f>
        <v>8</v>
      </c>
      <c r="W75" s="5" t="n">
        <f aca="false">SUMPRODUCT(--(MCS!$E$5:$E$14-Supuestos!$C$15-$S75-MCS!$G$5:$G$14&gt;=Supuestos!$C$16))</f>
        <v>8</v>
      </c>
      <c r="X75" s="6" t="str">
        <f aca="false">IF(V75=0,"ninguno",INDEX(MCS!$A$5:$A$14,V75))</f>
        <v>64QAM 5/6</v>
      </c>
      <c r="Y75" s="7" t="n">
        <f aca="false">IF(V75=0,0,INDEX(MCS!$F$5:$F$14,V75))</f>
        <v>144.444444444444</v>
      </c>
      <c r="Z75" s="7" t="n">
        <f aca="false">IF(W75=0,0,INDEX(MCS!$F$5:$F$14,W75))</f>
        <v>144.444444444444</v>
      </c>
      <c r="AA75" s="22" t="n">
        <f aca="false">IF(Y75&gt;0,Supuestos!$C$29*Supuestos!$C$30/(Supuestos!$C$17*Y75),0)</f>
        <v>0.00958579881656805</v>
      </c>
      <c r="AB75" s="22" t="n">
        <f aca="false">IF(Z75&gt;0,Supuestos!$C$29*Supuestos!$C$31/(Supuestos!$C$17*Z75),0)</f>
        <v>0.00119822485207101</v>
      </c>
    </row>
    <row r="76" customFormat="false" ht="15" hidden="false" customHeight="false" outlineLevel="0" collapsed="false">
      <c r="A76" s="13" t="n">
        <v>72</v>
      </c>
      <c r="B76" s="17" t="n">
        <v>201.9</v>
      </c>
      <c r="C76" s="18" t="n">
        <v>81.6</v>
      </c>
      <c r="D76" s="18" t="n">
        <v>205.9</v>
      </c>
      <c r="E76" s="19" t="n">
        <v>7</v>
      </c>
      <c r="F76" s="6" t="str">
        <f aca="false">IF(AND(B76&gt;=90,B76&lt;210),"S1",IF(AND(B76&gt;=210,B76&lt;330),"S2","S3"))</f>
        <v>S1</v>
      </c>
      <c r="G76" s="6" t="n">
        <f aca="false">IF(F76="S1",Supuestos!$C$26,IF(F76="S2",Supuestos!$C$27,Supuestos!$C$28))</f>
        <v>150</v>
      </c>
      <c r="H76" s="7" t="n">
        <f aca="false">MOD(B76-G76+180,360)-180</f>
        <v>51.9</v>
      </c>
      <c r="I76" s="7" t="n">
        <f aca="false">Supuestos!$C$7-(D76-Supuestos!$C$8)-Supuestos!$C$9</f>
        <v>24.1</v>
      </c>
      <c r="J76" s="7" t="n">
        <f aca="false">SQRT(C76^2+I76^2)</f>
        <v>85.0844874227964</v>
      </c>
      <c r="K76" s="20" t="n">
        <f aca="false">DEGREES(ATAN2(C76,I76))</f>
        <v>16.4541438917016</v>
      </c>
      <c r="L76" s="20" t="n">
        <f aca="false">K76-(Supuestos!$C$21+Supuestos!$C$22)</f>
        <v>12.4541438917016</v>
      </c>
      <c r="M76" s="7" t="n">
        <f aca="false">MIN(6*(2*H76/Supuestos!$C$20)^2,Supuestos!$C$24)</f>
        <v>3.44433054504769</v>
      </c>
      <c r="N76" s="21" t="n">
        <f aca="false">PI()*Supuestos!$C$23/Supuestos!$C$6*SIN(RADIANS(L76))</f>
        <v>4.81048821526665</v>
      </c>
      <c r="O76" s="7" t="n">
        <f aca="false">IF(ABS(N76)&lt;0.000000001,0,MIN(-20*LOG10(MAX(ABS(SIN(N76)/N76),0.000001)),Supuestos!$C$25))</f>
        <v>13.685644462857</v>
      </c>
      <c r="P76" s="7" t="n">
        <f aca="false">Supuestos!$C$19-M76-O76</f>
        <v>-1.62997500790464</v>
      </c>
      <c r="Q76" s="7" t="n">
        <f aca="false">32.44+20*LOG10(J76/1000)+20*LOG10(Supuestos!$C$5*1000)</f>
        <v>86.3055676086053</v>
      </c>
      <c r="R76" s="7" t="n">
        <f aca="false">IF(E76&lt;=0,0,IF(E76&lt;=14,0.45*Supuestos!$C$5^0.284*E76,1.33*Supuestos!$C$5^0.284*MIN(E76,400)^0.588))</f>
        <v>5.18948312376934</v>
      </c>
      <c r="S76" s="7" t="n">
        <f aca="false">Q76+R76+Supuestos!$C$12+Supuestos!$C$13+Supuestos!$C$11-P76-Supuestos!$C$10</f>
        <v>71.9250257402793</v>
      </c>
      <c r="T76" s="7" t="n">
        <f aca="false">MCS!$E$5-S76-MCS!$G$5</f>
        <v>49.0749742597207</v>
      </c>
      <c r="U76" s="7" t="n">
        <f aca="false">T76-Supuestos!$C$15</f>
        <v>46.0749742597207</v>
      </c>
      <c r="V76" s="5" t="n">
        <f aca="false">SUMPRODUCT(--(MCS!$E$5:$E$14-$S76-MCS!$G$5:$G$14&gt;=Supuestos!$C$16))</f>
        <v>10</v>
      </c>
      <c r="W76" s="5" t="n">
        <f aca="false">SUMPRODUCT(--(MCS!$E$5:$E$14-Supuestos!$C$15-$S76-MCS!$G$5:$G$14&gt;=Supuestos!$C$16))</f>
        <v>9</v>
      </c>
      <c r="X76" s="6" t="str">
        <f aca="false">IF(V76=0,"ninguno",INDEX(MCS!$A$5:$A$14,V76))</f>
        <v>256QAM 5/6</v>
      </c>
      <c r="Y76" s="7" t="n">
        <f aca="false">IF(V76=0,0,INDEX(MCS!$F$5:$F$14,V76))</f>
        <v>192.592592592593</v>
      </c>
      <c r="Z76" s="7" t="n">
        <f aca="false">IF(W76=0,0,INDEX(MCS!$F$5:$F$14,W76))</f>
        <v>173.333333333333</v>
      </c>
      <c r="AA76" s="22" t="n">
        <f aca="false">IF(Y76&gt;0,Supuestos!$C$29*Supuestos!$C$30/(Supuestos!$C$17*Y76),0)</f>
        <v>0.00718934911242604</v>
      </c>
      <c r="AB76" s="22" t="n">
        <f aca="false">IF(Z76&gt;0,Supuestos!$C$29*Supuestos!$C$31/(Supuestos!$C$17*Z76),0)</f>
        <v>0.000998520710059172</v>
      </c>
    </row>
    <row r="77" customFormat="false" ht="15" hidden="false" customHeight="false" outlineLevel="0" collapsed="false">
      <c r="A77" s="13" t="n">
        <v>73</v>
      </c>
      <c r="B77" s="17" t="n">
        <v>77.2</v>
      </c>
      <c r="C77" s="18" t="n">
        <v>141.5</v>
      </c>
      <c r="D77" s="18" t="n">
        <v>213</v>
      </c>
      <c r="E77" s="19" t="n">
        <v>0</v>
      </c>
      <c r="F77" s="6" t="str">
        <f aca="false">IF(AND(B77&gt;=90,B77&lt;210),"S1",IF(AND(B77&gt;=210,B77&lt;330),"S2","S3"))</f>
        <v>S3</v>
      </c>
      <c r="G77" s="6" t="n">
        <f aca="false">IF(F77="S1",Supuestos!$C$26,IF(F77="S2",Supuestos!$C$27,Supuestos!$C$28))</f>
        <v>30</v>
      </c>
      <c r="H77" s="7" t="n">
        <f aca="false">MOD(B77-G77+180,360)-180</f>
        <v>47.2</v>
      </c>
      <c r="I77" s="7" t="n">
        <f aca="false">Supuestos!$C$7-(D77-Supuestos!$C$8)-Supuestos!$C$9</f>
        <v>17</v>
      </c>
      <c r="J77" s="7" t="n">
        <f aca="false">SQRT(C77^2+I77^2)</f>
        <v>142.517542779828</v>
      </c>
      <c r="K77" s="20" t="n">
        <f aca="false">DEGREES(ATAN2(C77,I77))</f>
        <v>6.85075666177993</v>
      </c>
      <c r="L77" s="20" t="n">
        <f aca="false">K77-(Supuestos!$C$21+Supuestos!$C$22)</f>
        <v>2.85075666177993</v>
      </c>
      <c r="M77" s="7" t="n">
        <f aca="false">MIN(6*(2*H77/Supuestos!$C$20)^2,Supuestos!$C$24)</f>
        <v>2.84874846821887</v>
      </c>
      <c r="N77" s="21" t="n">
        <f aca="false">PI()*Supuestos!$C$23/Supuestos!$C$6*SIN(RADIANS(L77))</f>
        <v>1.10938308701401</v>
      </c>
      <c r="O77" s="7" t="n">
        <f aca="false">IF(ABS(N77)&lt;0.000000001,0,MIN(-20*LOG10(MAX(ABS(SIN(N77)/N77),0.000001)),Supuestos!$C$25))</f>
        <v>1.8610542819125</v>
      </c>
      <c r="P77" s="7" t="n">
        <f aca="false">Supuestos!$C$19-M77-O77</f>
        <v>10.7901972498686</v>
      </c>
      <c r="Q77" s="7" t="n">
        <f aca="false">32.44+20*LOG10(J77/1000)+20*LOG10(Supuestos!$C$5*1000)</f>
        <v>90.7859263881219</v>
      </c>
      <c r="R77" s="7" t="n">
        <f aca="false">IF(E77&lt;=0,0,IF(E77&lt;=14,0.45*Supuestos!$C$5^0.284*E77,1.33*Supuestos!$C$5^0.284*MIN(E77,400)^0.588))</f>
        <v>0</v>
      </c>
      <c r="S77" s="7" t="n">
        <f aca="false">Q77+R77+Supuestos!$C$12+Supuestos!$C$13+Supuestos!$C$11-P77-Supuestos!$C$10</f>
        <v>58.7957291382532</v>
      </c>
      <c r="T77" s="7" t="n">
        <f aca="false">MCS!$E$5-S77-MCS!$G$5</f>
        <v>62.2042708617468</v>
      </c>
      <c r="U77" s="7" t="n">
        <f aca="false">T77-Supuestos!$C$15</f>
        <v>59.2042708617468</v>
      </c>
      <c r="V77" s="5" t="n">
        <f aca="false">SUMPRODUCT(--(MCS!$E$5:$E$14-$S77-MCS!$G$5:$G$14&gt;=Supuestos!$C$16))</f>
        <v>10</v>
      </c>
      <c r="W77" s="5" t="n">
        <f aca="false">SUMPRODUCT(--(MCS!$E$5:$E$14-Supuestos!$C$15-$S77-MCS!$G$5:$G$14&gt;=Supuestos!$C$16))</f>
        <v>10</v>
      </c>
      <c r="X77" s="6" t="str">
        <f aca="false">IF(V77=0,"ninguno",INDEX(MCS!$A$5:$A$14,V77))</f>
        <v>256QAM 5/6</v>
      </c>
      <c r="Y77" s="7" t="n">
        <f aca="false">IF(V77=0,0,INDEX(MCS!$F$5:$F$14,V77))</f>
        <v>192.592592592593</v>
      </c>
      <c r="Z77" s="7" t="n">
        <f aca="false">IF(W77=0,0,INDEX(MCS!$F$5:$F$14,W77))</f>
        <v>192.592592592593</v>
      </c>
      <c r="AA77" s="22" t="n">
        <f aca="false">IF(Y77&gt;0,Supuestos!$C$29*Supuestos!$C$30/(Supuestos!$C$17*Y77),0)</f>
        <v>0.00718934911242604</v>
      </c>
      <c r="AB77" s="22" t="n">
        <f aca="false">IF(Z77&gt;0,Supuestos!$C$29*Supuestos!$C$31/(Supuestos!$C$17*Z77),0)</f>
        <v>0.000898668639053254</v>
      </c>
    </row>
    <row r="78" customFormat="false" ht="15" hidden="false" customHeight="false" outlineLevel="0" collapsed="false">
      <c r="A78" s="13" t="n">
        <v>74</v>
      </c>
      <c r="B78" s="17" t="n">
        <v>67.4</v>
      </c>
      <c r="C78" s="18" t="n">
        <v>154</v>
      </c>
      <c r="D78" s="18" t="n">
        <v>213.1</v>
      </c>
      <c r="E78" s="19" t="n">
        <v>0</v>
      </c>
      <c r="F78" s="6" t="str">
        <f aca="false">IF(AND(B78&gt;=90,B78&lt;210),"S1",IF(AND(B78&gt;=210,B78&lt;330),"S2","S3"))</f>
        <v>S3</v>
      </c>
      <c r="G78" s="6" t="n">
        <f aca="false">IF(F78="S1",Supuestos!$C$26,IF(F78="S2",Supuestos!$C$27,Supuestos!$C$28))</f>
        <v>30</v>
      </c>
      <c r="H78" s="7" t="n">
        <f aca="false">MOD(B78-G78+180,360)-180</f>
        <v>37.4</v>
      </c>
      <c r="I78" s="7" t="n">
        <f aca="false">Supuestos!$C$7-(D78-Supuestos!$C$8)-Supuestos!$C$9</f>
        <v>16.9</v>
      </c>
      <c r="J78" s="7" t="n">
        <f aca="false">SQRT(C78^2+I78^2)</f>
        <v>154.92453001381</v>
      </c>
      <c r="K78" s="20" t="n">
        <f aca="false">DEGREES(ATAN2(C78,I78))</f>
        <v>6.26259397378387</v>
      </c>
      <c r="L78" s="20" t="n">
        <f aca="false">K78-(Supuestos!$C$21+Supuestos!$C$22)</f>
        <v>2.26259397378387</v>
      </c>
      <c r="M78" s="7" t="n">
        <f aca="false">MIN(6*(2*H78/Supuestos!$C$20)^2,Supuestos!$C$24)</f>
        <v>1.78860035164367</v>
      </c>
      <c r="N78" s="21" t="n">
        <f aca="false">PI()*Supuestos!$C$23/Supuestos!$C$6*SIN(RADIANS(L78))</f>
        <v>0.880631750454566</v>
      </c>
      <c r="O78" s="7" t="n">
        <f aca="false">IF(ABS(N78)&lt;0.000000001,0,MIN(-20*LOG10(MAX(ABS(SIN(N78)/N78),0.000001)),Supuestos!$C$25))</f>
        <v>1.15320813857568</v>
      </c>
      <c r="P78" s="7" t="n">
        <f aca="false">Supuestos!$C$19-M78-O78</f>
        <v>12.5581915097807</v>
      </c>
      <c r="Q78" s="7" t="n">
        <f aca="false">32.44+20*LOG10(J78/1000)+20*LOG10(Supuestos!$C$5*1000)</f>
        <v>91.5109636178182</v>
      </c>
      <c r="R78" s="7" t="n">
        <f aca="false">IF(E78&lt;=0,0,IF(E78&lt;=14,0.45*Supuestos!$C$5^0.284*E78,1.33*Supuestos!$C$5^0.284*MIN(E78,400)^0.588))</f>
        <v>0</v>
      </c>
      <c r="S78" s="7" t="n">
        <f aca="false">Q78+R78+Supuestos!$C$12+Supuestos!$C$13+Supuestos!$C$11-P78-Supuestos!$C$10</f>
        <v>57.7527721080375</v>
      </c>
      <c r="T78" s="7" t="n">
        <f aca="false">MCS!$E$5-S78-MCS!$G$5</f>
        <v>63.2472278919625</v>
      </c>
      <c r="U78" s="7" t="n">
        <f aca="false">T78-Supuestos!$C$15</f>
        <v>60.2472278919625</v>
      </c>
      <c r="V78" s="5" t="n">
        <f aca="false">SUMPRODUCT(--(MCS!$E$5:$E$14-$S78-MCS!$G$5:$G$14&gt;=Supuestos!$C$16))</f>
        <v>10</v>
      </c>
      <c r="W78" s="5" t="n">
        <f aca="false">SUMPRODUCT(--(MCS!$E$5:$E$14-Supuestos!$C$15-$S78-MCS!$G$5:$G$14&gt;=Supuestos!$C$16))</f>
        <v>10</v>
      </c>
      <c r="X78" s="6" t="str">
        <f aca="false">IF(V78=0,"ninguno",INDEX(MCS!$A$5:$A$14,V78))</f>
        <v>256QAM 5/6</v>
      </c>
      <c r="Y78" s="7" t="n">
        <f aca="false">IF(V78=0,0,INDEX(MCS!$F$5:$F$14,V78))</f>
        <v>192.592592592593</v>
      </c>
      <c r="Z78" s="7" t="n">
        <f aca="false">IF(W78=0,0,INDEX(MCS!$F$5:$F$14,W78))</f>
        <v>192.592592592593</v>
      </c>
      <c r="AA78" s="22" t="n">
        <f aca="false">IF(Y78&gt;0,Supuestos!$C$29*Supuestos!$C$30/(Supuestos!$C$17*Y78),0)</f>
        <v>0.00718934911242604</v>
      </c>
      <c r="AB78" s="22" t="n">
        <f aca="false">IF(Z78&gt;0,Supuestos!$C$29*Supuestos!$C$31/(Supuestos!$C$17*Z78),0)</f>
        <v>0.000898668639053254</v>
      </c>
    </row>
    <row r="79" customFormat="false" ht="15" hidden="false" customHeight="false" outlineLevel="0" collapsed="false">
      <c r="A79" s="13" t="n">
        <v>75</v>
      </c>
      <c r="B79" s="17" t="n">
        <v>64.3</v>
      </c>
      <c r="C79" s="18" t="n">
        <v>186.7</v>
      </c>
      <c r="D79" s="18" t="n">
        <v>213.8</v>
      </c>
      <c r="E79" s="19" t="n">
        <v>23</v>
      </c>
      <c r="F79" s="6" t="str">
        <f aca="false">IF(AND(B79&gt;=90,B79&lt;210),"S1",IF(AND(B79&gt;=210,B79&lt;330),"S2","S3"))</f>
        <v>S3</v>
      </c>
      <c r="G79" s="6" t="n">
        <f aca="false">IF(F79="S1",Supuestos!$C$26,IF(F79="S2",Supuestos!$C$27,Supuestos!$C$28))</f>
        <v>30</v>
      </c>
      <c r="H79" s="7" t="n">
        <f aca="false">MOD(B79-G79+180,360)-180</f>
        <v>34.3</v>
      </c>
      <c r="I79" s="7" t="n">
        <f aca="false">Supuestos!$C$7-(D79-Supuestos!$C$8)-Supuestos!$C$9</f>
        <v>16.2</v>
      </c>
      <c r="J79" s="7" t="n">
        <f aca="false">SQRT(C79^2+I79^2)</f>
        <v>187.401520804928</v>
      </c>
      <c r="K79" s="20" t="n">
        <f aca="false">DEGREES(ATAN2(C79,I79))</f>
        <v>4.95914633932304</v>
      </c>
      <c r="L79" s="20" t="n">
        <f aca="false">K79-(Supuestos!$C$21+Supuestos!$C$22)</f>
        <v>0.959146339323042</v>
      </c>
      <c r="M79" s="7" t="n">
        <f aca="false">MIN(6*(2*H79/Supuestos!$C$20)^2,Supuestos!$C$24)</f>
        <v>1.50438275880441</v>
      </c>
      <c r="N79" s="21" t="n">
        <f aca="false">PI()*Supuestos!$C$23/Supuestos!$C$6*SIN(RADIANS(L79))</f>
        <v>0.37339215092379</v>
      </c>
      <c r="O79" s="7" t="n">
        <f aca="false">IF(ABS(N79)&lt;0.000000001,0,MIN(-20*LOG10(MAX(ABS(SIN(N79)/N79),0.000001)),Supuestos!$C$25))</f>
        <v>0.202779971367842</v>
      </c>
      <c r="P79" s="7" t="n">
        <f aca="false">Supuestos!$C$19-M79-O79</f>
        <v>13.7928372698277</v>
      </c>
      <c r="Q79" s="7" t="n">
        <f aca="false">32.44+20*LOG10(J79/1000)+20*LOG10(Supuestos!$C$5*1000)</f>
        <v>93.1640220905019</v>
      </c>
      <c r="R79" s="7" t="n">
        <f aca="false">IF(E79&lt;=0,0,IF(E79&lt;=14,0.45*Supuestos!$C$5^0.284*E79,1.33*Supuestos!$C$5^0.284*MIN(E79,400)^0.588))</f>
        <v>13.8471742948409</v>
      </c>
      <c r="S79" s="7" t="n">
        <f aca="false">Q79+R79+Supuestos!$C$12+Supuestos!$C$13+Supuestos!$C$11-P79-Supuestos!$C$10</f>
        <v>72.0183591155151</v>
      </c>
      <c r="T79" s="7" t="n">
        <f aca="false">MCS!$E$5-S79-MCS!$G$5</f>
        <v>48.9816408844849</v>
      </c>
      <c r="U79" s="7" t="n">
        <f aca="false">T79-Supuestos!$C$15</f>
        <v>45.9816408844849</v>
      </c>
      <c r="V79" s="5" t="n">
        <f aca="false">SUMPRODUCT(--(MCS!$E$5:$E$14-$S79-MCS!$G$5:$G$14&gt;=Supuestos!$C$16))</f>
        <v>10</v>
      </c>
      <c r="W79" s="5" t="n">
        <f aca="false">SUMPRODUCT(--(MCS!$E$5:$E$14-Supuestos!$C$15-$S79-MCS!$G$5:$G$14&gt;=Supuestos!$C$16))</f>
        <v>9</v>
      </c>
      <c r="X79" s="6" t="str">
        <f aca="false">IF(V79=0,"ninguno",INDEX(MCS!$A$5:$A$14,V79))</f>
        <v>256QAM 5/6</v>
      </c>
      <c r="Y79" s="7" t="n">
        <f aca="false">IF(V79=0,0,INDEX(MCS!$F$5:$F$14,V79))</f>
        <v>192.592592592593</v>
      </c>
      <c r="Z79" s="7" t="n">
        <f aca="false">IF(W79=0,0,INDEX(MCS!$F$5:$F$14,W79))</f>
        <v>173.333333333333</v>
      </c>
      <c r="AA79" s="22" t="n">
        <f aca="false">IF(Y79&gt;0,Supuestos!$C$29*Supuestos!$C$30/(Supuestos!$C$17*Y79),0)</f>
        <v>0.00718934911242604</v>
      </c>
      <c r="AB79" s="22" t="n">
        <f aca="false">IF(Z79&gt;0,Supuestos!$C$29*Supuestos!$C$31/(Supuestos!$C$17*Z79),0)</f>
        <v>0.000998520710059172</v>
      </c>
    </row>
    <row r="80" customFormat="false" ht="15" hidden="false" customHeight="false" outlineLevel="0" collapsed="false">
      <c r="A80" s="13" t="n">
        <v>76</v>
      </c>
      <c r="B80" s="17" t="n">
        <v>71.2</v>
      </c>
      <c r="C80" s="18" t="n">
        <v>204.1</v>
      </c>
      <c r="D80" s="18" t="n">
        <v>214.1</v>
      </c>
      <c r="E80" s="19" t="n">
        <v>12</v>
      </c>
      <c r="F80" s="6" t="str">
        <f aca="false">IF(AND(B80&gt;=90,B80&lt;210),"S1",IF(AND(B80&gt;=210,B80&lt;330),"S2","S3"))</f>
        <v>S3</v>
      </c>
      <c r="G80" s="6" t="n">
        <f aca="false">IF(F80="S1",Supuestos!$C$26,IF(F80="S2",Supuestos!$C$27,Supuestos!$C$28))</f>
        <v>30</v>
      </c>
      <c r="H80" s="7" t="n">
        <f aca="false">MOD(B80-G80+180,360)-180</f>
        <v>41.2</v>
      </c>
      <c r="I80" s="7" t="n">
        <f aca="false">Supuestos!$C$7-(D80-Supuestos!$C$8)-Supuestos!$C$9</f>
        <v>15.9</v>
      </c>
      <c r="J80" s="7" t="n">
        <f aca="false">SQRT(C80^2+I80^2)</f>
        <v>204.718391943665</v>
      </c>
      <c r="K80" s="20" t="n">
        <f aca="false">DEGREES(ATAN2(C80,I80))</f>
        <v>4.45451570252252</v>
      </c>
      <c r="L80" s="20" t="n">
        <f aca="false">K80-(Supuestos!$C$21+Supuestos!$C$22)</f>
        <v>0.454515702522524</v>
      </c>
      <c r="M80" s="7" t="n">
        <f aca="false">MIN(6*(2*H80/Supuestos!$C$20)^2,Supuestos!$C$24)</f>
        <v>2.17052373594757</v>
      </c>
      <c r="N80" s="21" t="n">
        <f aca="false">PI()*Supuestos!$C$23/Supuestos!$C$6*SIN(RADIANS(L80))</f>
        <v>0.176947704060144</v>
      </c>
      <c r="O80" s="7" t="n">
        <f aca="false">IF(ABS(N80)&lt;0.000000001,0,MIN(-20*LOG10(MAX(ABS(SIN(N80)/N80),0.000001)),Supuestos!$C$25))</f>
        <v>0.0453739775782055</v>
      </c>
      <c r="P80" s="7" t="n">
        <f aca="false">Supuestos!$C$19-M80-O80</f>
        <v>13.2841022864742</v>
      </c>
      <c r="Q80" s="7" t="n">
        <f aca="false">32.44+20*LOG10(J80/1000)+20*LOG10(Supuestos!$C$5*1000)</f>
        <v>93.9316971017276</v>
      </c>
      <c r="R80" s="7" t="n">
        <f aca="false">IF(E80&lt;=0,0,IF(E80&lt;=14,0.45*Supuestos!$C$5^0.284*E80,1.33*Supuestos!$C$5^0.284*MIN(E80,400)^0.588))</f>
        <v>8.89625678360458</v>
      </c>
      <c r="S80" s="7" t="n">
        <f aca="false">Q80+R80+Supuestos!$C$12+Supuestos!$C$13+Supuestos!$C$11-P80-Supuestos!$C$10</f>
        <v>68.343851598858</v>
      </c>
      <c r="T80" s="7" t="n">
        <f aca="false">MCS!$E$5-S80-MCS!$G$5</f>
        <v>52.656148401142</v>
      </c>
      <c r="U80" s="7" t="n">
        <f aca="false">T80-Supuestos!$C$15</f>
        <v>49.656148401142</v>
      </c>
      <c r="V80" s="5" t="n">
        <f aca="false">SUMPRODUCT(--(MCS!$E$5:$E$14-$S80-MCS!$G$5:$G$14&gt;=Supuestos!$C$16))</f>
        <v>10</v>
      </c>
      <c r="W80" s="5" t="n">
        <f aca="false">SUMPRODUCT(--(MCS!$E$5:$E$14-Supuestos!$C$15-$S80-MCS!$G$5:$G$14&gt;=Supuestos!$C$16))</f>
        <v>10</v>
      </c>
      <c r="X80" s="6" t="str">
        <f aca="false">IF(V80=0,"ninguno",INDEX(MCS!$A$5:$A$14,V80))</f>
        <v>256QAM 5/6</v>
      </c>
      <c r="Y80" s="7" t="n">
        <f aca="false">IF(V80=0,0,INDEX(MCS!$F$5:$F$14,V80))</f>
        <v>192.592592592593</v>
      </c>
      <c r="Z80" s="7" t="n">
        <f aca="false">IF(W80=0,0,INDEX(MCS!$F$5:$F$14,W80))</f>
        <v>192.592592592593</v>
      </c>
      <c r="AA80" s="22" t="n">
        <f aca="false">IF(Y80&gt;0,Supuestos!$C$29*Supuestos!$C$30/(Supuestos!$C$17*Y80),0)</f>
        <v>0.00718934911242604</v>
      </c>
      <c r="AB80" s="22" t="n">
        <f aca="false">IF(Z80&gt;0,Supuestos!$C$29*Supuestos!$C$31/(Supuestos!$C$17*Z80),0)</f>
        <v>0.000898668639053254</v>
      </c>
    </row>
    <row r="81" customFormat="false" ht="15" hidden="false" customHeight="false" outlineLevel="0" collapsed="false">
      <c r="A81" s="13" t="n">
        <v>77</v>
      </c>
      <c r="B81" s="17" t="n">
        <v>89</v>
      </c>
      <c r="C81" s="18" t="n">
        <v>158.2</v>
      </c>
      <c r="D81" s="18" t="n">
        <v>213</v>
      </c>
      <c r="E81" s="19" t="n">
        <v>15</v>
      </c>
      <c r="F81" s="6" t="str">
        <f aca="false">IF(AND(B81&gt;=90,B81&lt;210),"S1",IF(AND(B81&gt;=210,B81&lt;330),"S2","S3"))</f>
        <v>S3</v>
      </c>
      <c r="G81" s="6" t="n">
        <f aca="false">IF(F81="S1",Supuestos!$C$26,IF(F81="S2",Supuestos!$C$27,Supuestos!$C$28))</f>
        <v>30</v>
      </c>
      <c r="H81" s="7" t="n">
        <f aca="false">MOD(B81-G81+180,360)-180</f>
        <v>59</v>
      </c>
      <c r="I81" s="7" t="n">
        <f aca="false">Supuestos!$C$7-(D81-Supuestos!$C$8)-Supuestos!$C$9</f>
        <v>17</v>
      </c>
      <c r="J81" s="7" t="n">
        <f aca="false">SQRT(C81^2+I81^2)</f>
        <v>159.110779018896</v>
      </c>
      <c r="K81" s="20" t="n">
        <f aca="false">DEGREES(ATAN2(C81,I81))</f>
        <v>6.13340609913991</v>
      </c>
      <c r="L81" s="20" t="n">
        <f aca="false">K81-(Supuestos!$C$21+Supuestos!$C$22)</f>
        <v>2.13340609913991</v>
      </c>
      <c r="M81" s="7" t="n">
        <f aca="false">MIN(6*(2*H81/Supuestos!$C$20)^2,Supuestos!$C$24)</f>
        <v>4.45116948159199</v>
      </c>
      <c r="N81" s="21" t="n">
        <f aca="false">PI()*Supuestos!$C$23/Supuestos!$C$6*SIN(RADIANS(L81))</f>
        <v>0.830374050485451</v>
      </c>
      <c r="O81" s="7" t="n">
        <f aca="false">IF(ABS(N81)&lt;0.000000001,0,MIN(-20*LOG10(MAX(ABS(SIN(N81)/N81),0.000001)),Supuestos!$C$25))</f>
        <v>1.0221856809312</v>
      </c>
      <c r="P81" s="7" t="n">
        <f aca="false">Supuestos!$C$19-M81-O81</f>
        <v>10.0266448374768</v>
      </c>
      <c r="Q81" s="7" t="n">
        <f aca="false">32.44+20*LOG10(J81/1000)+20*LOG10(Supuestos!$C$5*1000)</f>
        <v>91.7425519129467</v>
      </c>
      <c r="R81" s="7" t="n">
        <f aca="false">IF(E81&lt;=0,0,IF(E81&lt;=14,0.45*Supuestos!$C$5^0.284*E81,1.33*Supuestos!$C$5^0.284*MIN(E81,400)^0.588))</f>
        <v>10.7697804870022</v>
      </c>
      <c r="S81" s="7" t="n">
        <f aca="false">Q81+R81+Supuestos!$C$12+Supuestos!$C$13+Supuestos!$C$11-P81-Supuestos!$C$10</f>
        <v>71.285687562472</v>
      </c>
      <c r="T81" s="7" t="n">
        <f aca="false">MCS!$E$5-S81-MCS!$G$5</f>
        <v>49.714312437528</v>
      </c>
      <c r="U81" s="7" t="n">
        <f aca="false">T81-Supuestos!$C$15</f>
        <v>46.714312437528</v>
      </c>
      <c r="V81" s="5" t="n">
        <f aca="false">SUMPRODUCT(--(MCS!$E$5:$E$14-$S81-MCS!$G$5:$G$14&gt;=Supuestos!$C$16))</f>
        <v>10</v>
      </c>
      <c r="W81" s="5" t="n">
        <f aca="false">SUMPRODUCT(--(MCS!$E$5:$E$14-Supuestos!$C$15-$S81-MCS!$G$5:$G$14&gt;=Supuestos!$C$16))</f>
        <v>9</v>
      </c>
      <c r="X81" s="6" t="str">
        <f aca="false">IF(V81=0,"ninguno",INDEX(MCS!$A$5:$A$14,V81))</f>
        <v>256QAM 5/6</v>
      </c>
      <c r="Y81" s="7" t="n">
        <f aca="false">IF(V81=0,0,INDEX(MCS!$F$5:$F$14,V81))</f>
        <v>192.592592592593</v>
      </c>
      <c r="Z81" s="7" t="n">
        <f aca="false">IF(W81=0,0,INDEX(MCS!$F$5:$F$14,W81))</f>
        <v>173.333333333333</v>
      </c>
      <c r="AA81" s="22" t="n">
        <f aca="false">IF(Y81&gt;0,Supuestos!$C$29*Supuestos!$C$30/(Supuestos!$C$17*Y81),0)</f>
        <v>0.00718934911242604</v>
      </c>
      <c r="AB81" s="22" t="n">
        <f aca="false">IF(Z81&gt;0,Supuestos!$C$29*Supuestos!$C$31/(Supuestos!$C$17*Z81),0)</f>
        <v>0.000998520710059172</v>
      </c>
    </row>
    <row r="82" customFormat="false" ht="15" hidden="false" customHeight="false" outlineLevel="0" collapsed="false">
      <c r="A82" s="13" t="n">
        <v>78</v>
      </c>
      <c r="B82" s="17" t="n">
        <v>105</v>
      </c>
      <c r="C82" s="18" t="n">
        <v>171.8</v>
      </c>
      <c r="D82" s="18" t="n">
        <v>211.8</v>
      </c>
      <c r="E82" s="19" t="n">
        <v>20</v>
      </c>
      <c r="F82" s="6" t="str">
        <f aca="false">IF(AND(B82&gt;=90,B82&lt;210),"S1",IF(AND(B82&gt;=210,B82&lt;330),"S2","S3"))</f>
        <v>S1</v>
      </c>
      <c r="G82" s="6" t="n">
        <f aca="false">IF(F82="S1",Supuestos!$C$26,IF(F82="S2",Supuestos!$C$27,Supuestos!$C$28))</f>
        <v>150</v>
      </c>
      <c r="H82" s="7" t="n">
        <f aca="false">MOD(B82-G82+180,360)-180</f>
        <v>-45</v>
      </c>
      <c r="I82" s="7" t="n">
        <f aca="false">Supuestos!$C$7-(D82-Supuestos!$C$8)-Supuestos!$C$9</f>
        <v>18.2</v>
      </c>
      <c r="J82" s="7" t="n">
        <f aca="false">SQRT(C82^2+I82^2)</f>
        <v>172.761338267565</v>
      </c>
      <c r="K82" s="20" t="n">
        <f aca="false">DEGREES(ATAN2(C82,I82))</f>
        <v>6.04719619450034</v>
      </c>
      <c r="L82" s="20" t="n">
        <f aca="false">K82-(Supuestos!$C$21+Supuestos!$C$22)</f>
        <v>2.04719619450034</v>
      </c>
      <c r="M82" s="7" t="n">
        <f aca="false">MIN(6*(2*H82/Supuestos!$C$20)^2,Supuestos!$C$24)</f>
        <v>2.58937609888646</v>
      </c>
      <c r="N82" s="21" t="n">
        <f aca="false">PI()*Supuestos!$C$23/Supuestos!$C$6*SIN(RADIANS(L82))</f>
        <v>0.796833619758836</v>
      </c>
      <c r="O82" s="7" t="n">
        <f aca="false">IF(ABS(N82)&lt;0.000000001,0,MIN(-20*LOG10(MAX(ABS(SIN(N82)/N82),0.000001)),Supuestos!$C$25))</f>
        <v>0.939453122593329</v>
      </c>
      <c r="P82" s="7" t="n">
        <f aca="false">Supuestos!$C$19-M82-O82</f>
        <v>11.9711707785202</v>
      </c>
      <c r="Q82" s="7" t="n">
        <f aca="false">32.44+20*LOG10(J82/1000)+20*LOG10(Supuestos!$C$5*1000)</f>
        <v>92.4574910628578</v>
      </c>
      <c r="R82" s="7" t="n">
        <f aca="false">IF(E82&lt;=0,0,IF(E82&lt;=14,0.45*Supuestos!$C$5^0.284*E82,1.33*Supuestos!$C$5^0.284*MIN(E82,400)^0.588))</f>
        <v>12.7547170471689</v>
      </c>
      <c r="S82" s="7" t="n">
        <f aca="false">Q82+R82+Supuestos!$C$12+Supuestos!$C$13+Supuestos!$C$11-P82-Supuestos!$C$10</f>
        <v>72.0410373315064</v>
      </c>
      <c r="T82" s="7" t="n">
        <f aca="false">MCS!$E$5-S82-MCS!$G$5</f>
        <v>48.9589626684936</v>
      </c>
      <c r="U82" s="7" t="n">
        <f aca="false">T82-Supuestos!$C$15</f>
        <v>45.9589626684936</v>
      </c>
      <c r="V82" s="5" t="n">
        <f aca="false">SUMPRODUCT(--(MCS!$E$5:$E$14-$S82-MCS!$G$5:$G$14&gt;=Supuestos!$C$16))</f>
        <v>10</v>
      </c>
      <c r="W82" s="5" t="n">
        <f aca="false">SUMPRODUCT(--(MCS!$E$5:$E$14-Supuestos!$C$15-$S82-MCS!$G$5:$G$14&gt;=Supuestos!$C$16))</f>
        <v>9</v>
      </c>
      <c r="X82" s="6" t="str">
        <f aca="false">IF(V82=0,"ninguno",INDEX(MCS!$A$5:$A$14,V82))</f>
        <v>256QAM 5/6</v>
      </c>
      <c r="Y82" s="7" t="n">
        <f aca="false">IF(V82=0,0,INDEX(MCS!$F$5:$F$14,V82))</f>
        <v>192.592592592593</v>
      </c>
      <c r="Z82" s="7" t="n">
        <f aca="false">IF(W82=0,0,INDEX(MCS!$F$5:$F$14,W82))</f>
        <v>173.333333333333</v>
      </c>
      <c r="AA82" s="22" t="n">
        <f aca="false">IF(Y82&gt;0,Supuestos!$C$29*Supuestos!$C$30/(Supuestos!$C$17*Y82),0)</f>
        <v>0.00718934911242604</v>
      </c>
      <c r="AB82" s="22" t="n">
        <f aca="false">IF(Z82&gt;0,Supuestos!$C$29*Supuestos!$C$31/(Supuestos!$C$17*Z82),0)</f>
        <v>0.000998520710059172</v>
      </c>
    </row>
    <row r="83" customFormat="false" ht="15" hidden="false" customHeight="false" outlineLevel="0" collapsed="false">
      <c r="A83" s="13" t="n">
        <v>79</v>
      </c>
      <c r="B83" s="17" t="n">
        <v>113.6</v>
      </c>
      <c r="C83" s="18" t="n">
        <v>178.2</v>
      </c>
      <c r="D83" s="18" t="n">
        <v>212</v>
      </c>
      <c r="E83" s="19" t="n">
        <v>13</v>
      </c>
      <c r="F83" s="6" t="str">
        <f aca="false">IF(AND(B83&gt;=90,B83&lt;210),"S1",IF(AND(B83&gt;=210,B83&lt;330),"S2","S3"))</f>
        <v>S1</v>
      </c>
      <c r="G83" s="6" t="n">
        <f aca="false">IF(F83="S1",Supuestos!$C$26,IF(F83="S2",Supuestos!$C$27,Supuestos!$C$28))</f>
        <v>150</v>
      </c>
      <c r="H83" s="7" t="n">
        <f aca="false">MOD(B83-G83+180,360)-180</f>
        <v>-36.4</v>
      </c>
      <c r="I83" s="7" t="n">
        <f aca="false">Supuestos!$C$7-(D83-Supuestos!$C$8)-Supuestos!$C$9</f>
        <v>18</v>
      </c>
      <c r="J83" s="7" t="n">
        <f aca="false">SQRT(C83^2+I83^2)</f>
        <v>179.106783791123</v>
      </c>
      <c r="K83" s="20" t="n">
        <f aca="false">DEGREES(ATAN2(C83,I83))</f>
        <v>5.76788889791414</v>
      </c>
      <c r="L83" s="20" t="n">
        <f aca="false">K83-(Supuestos!$C$21+Supuestos!$C$22)</f>
        <v>1.76788889791414</v>
      </c>
      <c r="M83" s="7" t="n">
        <f aca="false">MIN(6*(2*H83/Supuestos!$C$20)^2,Supuestos!$C$24)</f>
        <v>1.69423197826203</v>
      </c>
      <c r="N83" s="21" t="n">
        <f aca="false">PI()*Supuestos!$C$23/Supuestos!$C$6*SIN(RADIANS(L83))</f>
        <v>0.688155601050553</v>
      </c>
      <c r="O83" s="7" t="n">
        <f aca="false">IF(ABS(N83)&lt;0.000000001,0,MIN(-20*LOG10(MAX(ABS(SIN(N83)/N83),0.000001)),Supuestos!$C$25))</f>
        <v>0.696704523754472</v>
      </c>
      <c r="P83" s="7" t="n">
        <f aca="false">Supuestos!$C$19-M83-O83</f>
        <v>13.1090634979835</v>
      </c>
      <c r="Q83" s="7" t="n">
        <f aca="false">32.44+20*LOG10(J83/1000)+20*LOG10(Supuestos!$C$5*1000)</f>
        <v>92.7708005784411</v>
      </c>
      <c r="R83" s="7" t="n">
        <f aca="false">IF(E83&lt;=0,0,IF(E83&lt;=14,0.45*Supuestos!$C$5^0.284*E83,1.33*Supuestos!$C$5^0.284*MIN(E83,400)^0.588))</f>
        <v>9.63761151557163</v>
      </c>
      <c r="S83" s="7" t="n">
        <f aca="false">Q83+R83+Supuestos!$C$12+Supuestos!$C$13+Supuestos!$C$11-P83-Supuestos!$C$10</f>
        <v>68.0993485960292</v>
      </c>
      <c r="T83" s="7" t="n">
        <f aca="false">MCS!$E$5-S83-MCS!$G$5</f>
        <v>52.9006514039708</v>
      </c>
      <c r="U83" s="7" t="n">
        <f aca="false">T83-Supuestos!$C$15</f>
        <v>49.9006514039708</v>
      </c>
      <c r="V83" s="5" t="n">
        <f aca="false">SUMPRODUCT(--(MCS!$E$5:$E$14-$S83-MCS!$G$5:$G$14&gt;=Supuestos!$C$16))</f>
        <v>10</v>
      </c>
      <c r="W83" s="5" t="n">
        <f aca="false">SUMPRODUCT(--(MCS!$E$5:$E$14-Supuestos!$C$15-$S83-MCS!$G$5:$G$14&gt;=Supuestos!$C$16))</f>
        <v>10</v>
      </c>
      <c r="X83" s="6" t="str">
        <f aca="false">IF(V83=0,"ninguno",INDEX(MCS!$A$5:$A$14,V83))</f>
        <v>256QAM 5/6</v>
      </c>
      <c r="Y83" s="7" t="n">
        <f aca="false">IF(V83=0,0,INDEX(MCS!$F$5:$F$14,V83))</f>
        <v>192.592592592593</v>
      </c>
      <c r="Z83" s="7" t="n">
        <f aca="false">IF(W83=0,0,INDEX(MCS!$F$5:$F$14,W83))</f>
        <v>192.592592592593</v>
      </c>
      <c r="AA83" s="22" t="n">
        <f aca="false">IF(Y83&gt;0,Supuestos!$C$29*Supuestos!$C$30/(Supuestos!$C$17*Y83),0)</f>
        <v>0.00718934911242604</v>
      </c>
      <c r="AB83" s="22" t="n">
        <f aca="false">IF(Z83&gt;0,Supuestos!$C$29*Supuestos!$C$31/(Supuestos!$C$17*Z83),0)</f>
        <v>0.000898668639053254</v>
      </c>
    </row>
    <row r="84" customFormat="false" ht="15" hidden="false" customHeight="false" outlineLevel="0" collapsed="false">
      <c r="A84" s="13" t="n">
        <v>80</v>
      </c>
      <c r="B84" s="17" t="n">
        <v>90.3</v>
      </c>
      <c r="C84" s="18" t="n">
        <v>188.7</v>
      </c>
      <c r="D84" s="18" t="n">
        <v>213.3</v>
      </c>
      <c r="E84" s="19" t="n">
        <v>17</v>
      </c>
      <c r="F84" s="6" t="str">
        <f aca="false">IF(AND(B84&gt;=90,B84&lt;210),"S1",IF(AND(B84&gt;=210,B84&lt;330),"S2","S3"))</f>
        <v>S1</v>
      </c>
      <c r="G84" s="6" t="n">
        <f aca="false">IF(F84="S1",Supuestos!$C$26,IF(F84="S2",Supuestos!$C$27,Supuestos!$C$28))</f>
        <v>150</v>
      </c>
      <c r="H84" s="7" t="n">
        <f aca="false">MOD(B84-G84+180,360)-180</f>
        <v>-59.7</v>
      </c>
      <c r="I84" s="7" t="n">
        <f aca="false">Supuestos!$C$7-(D84-Supuestos!$C$8)-Supuestos!$C$9</f>
        <v>16.7</v>
      </c>
      <c r="J84" s="7" t="n">
        <f aca="false">SQRT(C84^2+I84^2)</f>
        <v>189.437535879244</v>
      </c>
      <c r="K84" s="20" t="n">
        <f aca="false">DEGREES(ATAN2(C84,I84))</f>
        <v>5.05751514732366</v>
      </c>
      <c r="L84" s="20" t="n">
        <f aca="false">K84-(Supuestos!$C$21+Supuestos!$C$22)</f>
        <v>1.05751514732366</v>
      </c>
      <c r="M84" s="7" t="n">
        <f aca="false">MIN(6*(2*H84/Supuestos!$C$20)^2,Supuestos!$C$24)</f>
        <v>4.55741701742235</v>
      </c>
      <c r="N84" s="21" t="n">
        <f aca="false">PI()*Supuestos!$C$23/Supuestos!$C$6*SIN(RADIANS(L84))</f>
        <v>0.411682620611205</v>
      </c>
      <c r="O84" s="7" t="n">
        <f aca="false">IF(ABS(N84)&lt;0.000000001,0,MIN(-20*LOG10(MAX(ABS(SIN(N84)/N84),0.000001)),Supuestos!$C$25))</f>
        <v>0.246752363699385</v>
      </c>
      <c r="P84" s="7" t="n">
        <f aca="false">Supuestos!$C$19-M84-O84</f>
        <v>10.6958306188783</v>
      </c>
      <c r="Q84" s="7" t="n">
        <f aca="false">32.44+20*LOG10(J84/1000)+20*LOG10(Supuestos!$C$5*1000)</f>
        <v>93.25788059059</v>
      </c>
      <c r="R84" s="7" t="n">
        <f aca="false">IF(E84&lt;=0,0,IF(E84&lt;=14,0.45*Supuestos!$C$5^0.284*E84,1.33*Supuestos!$C$5^0.284*MIN(E84,400)^0.588))</f>
        <v>11.5922878573376</v>
      </c>
      <c r="S84" s="7" t="n">
        <f aca="false">Q84+R84+Supuestos!$C$12+Supuestos!$C$13+Supuestos!$C$11-P84-Supuestos!$C$10</f>
        <v>72.9543378290494</v>
      </c>
      <c r="T84" s="7" t="n">
        <f aca="false">MCS!$E$5-S84-MCS!$G$5</f>
        <v>48.0456621709506</v>
      </c>
      <c r="U84" s="7" t="n">
        <f aca="false">T84-Supuestos!$C$15</f>
        <v>45.0456621709506</v>
      </c>
      <c r="V84" s="5" t="n">
        <f aca="false">SUMPRODUCT(--(MCS!$E$5:$E$14-$S84-MCS!$G$5:$G$14&gt;=Supuestos!$C$16))</f>
        <v>10</v>
      </c>
      <c r="W84" s="5" t="n">
        <f aca="false">SUMPRODUCT(--(MCS!$E$5:$E$14-Supuestos!$C$15-$S84-MCS!$G$5:$G$14&gt;=Supuestos!$C$16))</f>
        <v>9</v>
      </c>
      <c r="X84" s="6" t="str">
        <f aca="false">IF(V84=0,"ninguno",INDEX(MCS!$A$5:$A$14,V84))</f>
        <v>256QAM 5/6</v>
      </c>
      <c r="Y84" s="7" t="n">
        <f aca="false">IF(V84=0,0,INDEX(MCS!$F$5:$F$14,V84))</f>
        <v>192.592592592593</v>
      </c>
      <c r="Z84" s="7" t="n">
        <f aca="false">IF(W84=0,0,INDEX(MCS!$F$5:$F$14,W84))</f>
        <v>173.333333333333</v>
      </c>
      <c r="AA84" s="22" t="n">
        <f aca="false">IF(Y84&gt;0,Supuestos!$C$29*Supuestos!$C$30/(Supuestos!$C$17*Y84),0)</f>
        <v>0.00718934911242604</v>
      </c>
      <c r="AB84" s="22" t="n">
        <f aca="false">IF(Z84&gt;0,Supuestos!$C$29*Supuestos!$C$31/(Supuestos!$C$17*Z84),0)</f>
        <v>0.000998520710059172</v>
      </c>
    </row>
    <row r="85" customFormat="false" ht="15" hidden="false" customHeight="false" outlineLevel="0" collapsed="false">
      <c r="A85" s="13" t="n">
        <v>81</v>
      </c>
      <c r="B85" s="17" t="n">
        <v>102.7</v>
      </c>
      <c r="C85" s="18" t="n">
        <v>195.6</v>
      </c>
      <c r="D85" s="18" t="n">
        <v>212.4</v>
      </c>
      <c r="E85" s="19" t="n">
        <v>20</v>
      </c>
      <c r="F85" s="6" t="str">
        <f aca="false">IF(AND(B85&gt;=90,B85&lt;210),"S1",IF(AND(B85&gt;=210,B85&lt;330),"S2","S3"))</f>
        <v>S1</v>
      </c>
      <c r="G85" s="6" t="n">
        <f aca="false">IF(F85="S1",Supuestos!$C$26,IF(F85="S2",Supuestos!$C$27,Supuestos!$C$28))</f>
        <v>150</v>
      </c>
      <c r="H85" s="7" t="n">
        <f aca="false">MOD(B85-G85+180,360)-180</f>
        <v>-47.3</v>
      </c>
      <c r="I85" s="7" t="n">
        <f aca="false">Supuestos!$C$7-(D85-Supuestos!$C$8)-Supuestos!$C$9</f>
        <v>17.6</v>
      </c>
      <c r="J85" s="7" t="n">
        <f aca="false">SQRT(C85^2+I85^2)</f>
        <v>196.390223789271</v>
      </c>
      <c r="K85" s="20" t="n">
        <f aca="false">DEGREES(ATAN2(C85,I85))</f>
        <v>5.1416022773847</v>
      </c>
      <c r="L85" s="20" t="n">
        <f aca="false">K85-(Supuestos!$C$21+Supuestos!$C$22)</f>
        <v>1.1416022773847</v>
      </c>
      <c r="M85" s="7" t="n">
        <f aca="false">MIN(6*(2*H85/Supuestos!$C$20)^2,Supuestos!$C$24)</f>
        <v>2.86083222334701</v>
      </c>
      <c r="N85" s="21" t="n">
        <f aca="false">PI()*Supuestos!$C$23/Supuestos!$C$6*SIN(RADIANS(L85))</f>
        <v>0.444412929795335</v>
      </c>
      <c r="O85" s="7" t="n">
        <f aca="false">IF(ABS(N85)&lt;0.000000001,0,MIN(-20*LOG10(MAX(ABS(SIN(N85)/N85),0.000001)),Supuestos!$C$25))</f>
        <v>0.287820920650398</v>
      </c>
      <c r="P85" s="7" t="n">
        <f aca="false">Supuestos!$C$19-M85-O85</f>
        <v>12.3513468560026</v>
      </c>
      <c r="Q85" s="7" t="n">
        <f aca="false">32.44+20*LOG10(J85/1000)+20*LOG10(Supuestos!$C$5*1000)</f>
        <v>93.5709571716371</v>
      </c>
      <c r="R85" s="7" t="n">
        <f aca="false">IF(E85&lt;=0,0,IF(E85&lt;=14,0.45*Supuestos!$C$5^0.284*E85,1.33*Supuestos!$C$5^0.284*MIN(E85,400)^0.588))</f>
        <v>12.7547170471689</v>
      </c>
      <c r="S85" s="7" t="n">
        <f aca="false">Q85+R85+Supuestos!$C$12+Supuestos!$C$13+Supuestos!$C$11-P85-Supuestos!$C$10</f>
        <v>72.7743273628034</v>
      </c>
      <c r="T85" s="7" t="n">
        <f aca="false">MCS!$E$5-S85-MCS!$G$5</f>
        <v>48.2256726371967</v>
      </c>
      <c r="U85" s="7" t="n">
        <f aca="false">T85-Supuestos!$C$15</f>
        <v>45.2256726371967</v>
      </c>
      <c r="V85" s="5" t="n">
        <f aca="false">SUMPRODUCT(--(MCS!$E$5:$E$14-$S85-MCS!$G$5:$G$14&gt;=Supuestos!$C$16))</f>
        <v>10</v>
      </c>
      <c r="W85" s="5" t="n">
        <f aca="false">SUMPRODUCT(--(MCS!$E$5:$E$14-Supuestos!$C$15-$S85-MCS!$G$5:$G$14&gt;=Supuestos!$C$16))</f>
        <v>9</v>
      </c>
      <c r="X85" s="6" t="str">
        <f aca="false">IF(V85=0,"ninguno",INDEX(MCS!$A$5:$A$14,V85))</f>
        <v>256QAM 5/6</v>
      </c>
      <c r="Y85" s="7" t="n">
        <f aca="false">IF(V85=0,0,INDEX(MCS!$F$5:$F$14,V85))</f>
        <v>192.592592592593</v>
      </c>
      <c r="Z85" s="7" t="n">
        <f aca="false">IF(W85=0,0,INDEX(MCS!$F$5:$F$14,W85))</f>
        <v>173.333333333333</v>
      </c>
      <c r="AA85" s="22" t="n">
        <f aca="false">IF(Y85&gt;0,Supuestos!$C$29*Supuestos!$C$30/(Supuestos!$C$17*Y85),0)</f>
        <v>0.00718934911242604</v>
      </c>
      <c r="AB85" s="22" t="n">
        <f aca="false">IF(Z85&gt;0,Supuestos!$C$29*Supuestos!$C$31/(Supuestos!$C$17*Z85),0)</f>
        <v>0.000998520710059172</v>
      </c>
    </row>
    <row r="86" customFormat="false" ht="15" hidden="false" customHeight="false" outlineLevel="0" collapsed="false">
      <c r="A86" s="13" t="n">
        <v>82</v>
      </c>
      <c r="B86" s="17" t="n">
        <v>90</v>
      </c>
      <c r="C86" s="18" t="n">
        <v>208.2</v>
      </c>
      <c r="D86" s="18" t="n">
        <v>212.9</v>
      </c>
      <c r="E86" s="19" t="n">
        <v>15</v>
      </c>
      <c r="F86" s="6" t="str">
        <f aca="false">IF(AND(B86&gt;=90,B86&lt;210),"S1",IF(AND(B86&gt;=210,B86&lt;330),"S2","S3"))</f>
        <v>S1</v>
      </c>
      <c r="G86" s="6" t="n">
        <f aca="false">IF(F86="S1",Supuestos!$C$26,IF(F86="S2",Supuestos!$C$27,Supuestos!$C$28))</f>
        <v>150</v>
      </c>
      <c r="H86" s="7" t="n">
        <f aca="false">MOD(B86-G86+180,360)-180</f>
        <v>-60</v>
      </c>
      <c r="I86" s="7" t="n">
        <f aca="false">Supuestos!$C$7-(D86-Supuestos!$C$8)-Supuestos!$C$9</f>
        <v>17.1</v>
      </c>
      <c r="J86" s="7" t="n">
        <f aca="false">SQRT(C86^2+I86^2)</f>
        <v>208.901053132817</v>
      </c>
      <c r="K86" s="20" t="n">
        <f aca="false">DEGREES(ATAN2(C86,I86))</f>
        <v>4.69531044165163</v>
      </c>
      <c r="L86" s="20" t="n">
        <f aca="false">K86-(Supuestos!$C$21+Supuestos!$C$22)</f>
        <v>0.695310441651626</v>
      </c>
      <c r="M86" s="7" t="n">
        <f aca="false">MIN(6*(2*H86/Supuestos!$C$20)^2,Supuestos!$C$24)</f>
        <v>4.60333528690927</v>
      </c>
      <c r="N86" s="21" t="n">
        <f aca="false">PI()*Supuestos!$C$23/Supuestos!$C$6*SIN(RADIANS(L86))</f>
        <v>0.270687802716534</v>
      </c>
      <c r="O86" s="7" t="n">
        <f aca="false">IF(ABS(N86)&lt;0.000000001,0,MIN(-20*LOG10(MAX(ABS(SIN(N86)/N86),0.000001)),Supuestos!$C$25))</f>
        <v>0.106332201567671</v>
      </c>
      <c r="P86" s="7" t="n">
        <f aca="false">Supuestos!$C$19-M86-O86</f>
        <v>10.7903325115231</v>
      </c>
      <c r="Q86" s="7" t="n">
        <f aca="false">32.44+20*LOG10(J86/1000)+20*LOG10(Supuestos!$C$5*1000)</f>
        <v>94.1073724591481</v>
      </c>
      <c r="R86" s="7" t="n">
        <f aca="false">IF(E86&lt;=0,0,IF(E86&lt;=14,0.45*Supuestos!$C$5^0.284*E86,1.33*Supuestos!$C$5^0.284*MIN(E86,400)^0.588))</f>
        <v>10.7697804870022</v>
      </c>
      <c r="S86" s="7" t="n">
        <f aca="false">Q86+R86+Supuestos!$C$12+Supuestos!$C$13+Supuestos!$C$11-P86-Supuestos!$C$10</f>
        <v>72.8868204346273</v>
      </c>
      <c r="T86" s="7" t="n">
        <f aca="false">MCS!$E$5-S86-MCS!$G$5</f>
        <v>48.1131795653728</v>
      </c>
      <c r="U86" s="7" t="n">
        <f aca="false">T86-Supuestos!$C$15</f>
        <v>45.1131795653728</v>
      </c>
      <c r="V86" s="5" t="n">
        <f aca="false">SUMPRODUCT(--(MCS!$E$5:$E$14-$S86-MCS!$G$5:$G$14&gt;=Supuestos!$C$16))</f>
        <v>10</v>
      </c>
      <c r="W86" s="5" t="n">
        <f aca="false">SUMPRODUCT(--(MCS!$E$5:$E$14-Supuestos!$C$15-$S86-MCS!$G$5:$G$14&gt;=Supuestos!$C$16))</f>
        <v>9</v>
      </c>
      <c r="X86" s="6" t="str">
        <f aca="false">IF(V86=0,"ninguno",INDEX(MCS!$A$5:$A$14,V86))</f>
        <v>256QAM 5/6</v>
      </c>
      <c r="Y86" s="7" t="n">
        <f aca="false">IF(V86=0,0,INDEX(MCS!$F$5:$F$14,V86))</f>
        <v>192.592592592593</v>
      </c>
      <c r="Z86" s="7" t="n">
        <f aca="false">IF(W86=0,0,INDEX(MCS!$F$5:$F$14,W86))</f>
        <v>173.333333333333</v>
      </c>
      <c r="AA86" s="22" t="n">
        <f aca="false">IF(Y86&gt;0,Supuestos!$C$29*Supuestos!$C$30/(Supuestos!$C$17*Y86),0)</f>
        <v>0.00718934911242604</v>
      </c>
      <c r="AB86" s="22" t="n">
        <f aca="false">IF(Z86&gt;0,Supuestos!$C$29*Supuestos!$C$31/(Supuestos!$C$17*Z86),0)</f>
        <v>0.000998520710059172</v>
      </c>
    </row>
    <row r="87" customFormat="false" ht="15" hidden="false" customHeight="false" outlineLevel="0" collapsed="false">
      <c r="A87" s="13" t="n">
        <v>83</v>
      </c>
      <c r="B87" s="17" t="n">
        <v>89.5</v>
      </c>
      <c r="C87" s="18" t="n">
        <v>224.4</v>
      </c>
      <c r="D87" s="18" t="n">
        <v>212.4</v>
      </c>
      <c r="E87" s="19" t="n">
        <v>14</v>
      </c>
      <c r="F87" s="6" t="str">
        <f aca="false">IF(AND(B87&gt;=90,B87&lt;210),"S1",IF(AND(B87&gt;=210,B87&lt;330),"S2","S3"))</f>
        <v>S3</v>
      </c>
      <c r="G87" s="6" t="n">
        <f aca="false">IF(F87="S1",Supuestos!$C$26,IF(F87="S2",Supuestos!$C$27,Supuestos!$C$28))</f>
        <v>30</v>
      </c>
      <c r="H87" s="7" t="n">
        <f aca="false">MOD(B87-G87+180,360)-180</f>
        <v>59.5</v>
      </c>
      <c r="I87" s="7" t="n">
        <f aca="false">Supuestos!$C$7-(D87-Supuestos!$C$8)-Supuestos!$C$9</f>
        <v>17.6</v>
      </c>
      <c r="J87" s="7" t="n">
        <f aca="false">SQRT(C87^2+I87^2)</f>
        <v>225.089137898744</v>
      </c>
      <c r="K87" s="20" t="n">
        <f aca="false">DEGREES(ATAN2(C87,I87))</f>
        <v>4.48460600954462</v>
      </c>
      <c r="L87" s="20" t="n">
        <f aca="false">K87-(Supuestos!$C$21+Supuestos!$C$22)</f>
        <v>0.484606009544624</v>
      </c>
      <c r="M87" s="7" t="n">
        <f aca="false">MIN(6*(2*H87/Supuestos!$C$20)^2,Supuestos!$C$24)</f>
        <v>4.52693270818904</v>
      </c>
      <c r="N87" s="21" t="n">
        <f aca="false">PI()*Supuestos!$C$23/Supuestos!$C$6*SIN(RADIANS(L87))</f>
        <v>0.18866190378786</v>
      </c>
      <c r="O87" s="7" t="n">
        <f aca="false">IF(ABS(N87)&lt;0.000000001,0,MIN(-20*LOG10(MAX(ABS(SIN(N87)/N87),0.000001)),Supuestos!$C$25))</f>
        <v>0.0515878713964184</v>
      </c>
      <c r="P87" s="7" t="n">
        <f aca="false">Supuestos!$C$19-M87-O87</f>
        <v>10.9214794204145</v>
      </c>
      <c r="Q87" s="7" t="n">
        <f aca="false">32.44+20*LOG10(J87/1000)+20*LOG10(Supuestos!$C$5*1000)</f>
        <v>94.7556506273813</v>
      </c>
      <c r="R87" s="7" t="n">
        <f aca="false">IF(E87&lt;=0,0,IF(E87&lt;=14,0.45*Supuestos!$C$5^0.284*E87,1.33*Supuestos!$C$5^0.284*MIN(E87,400)^0.588))</f>
        <v>10.3789662475387</v>
      </c>
      <c r="S87" s="7" t="n">
        <f aca="false">Q87+R87+Supuestos!$C$12+Supuestos!$C$13+Supuestos!$C$11-P87-Supuestos!$C$10</f>
        <v>73.0131374545054</v>
      </c>
      <c r="T87" s="7" t="n">
        <f aca="false">MCS!$E$5-S87-MCS!$G$5</f>
        <v>47.9868625454946</v>
      </c>
      <c r="U87" s="7" t="n">
        <f aca="false">T87-Supuestos!$C$15</f>
        <v>44.9868625454946</v>
      </c>
      <c r="V87" s="5" t="n">
        <f aca="false">SUMPRODUCT(--(MCS!$E$5:$E$14-$S87-MCS!$G$5:$G$14&gt;=Supuestos!$C$16))</f>
        <v>10</v>
      </c>
      <c r="W87" s="5" t="n">
        <f aca="false">SUMPRODUCT(--(MCS!$E$5:$E$14-Supuestos!$C$15-$S87-MCS!$G$5:$G$14&gt;=Supuestos!$C$16))</f>
        <v>9</v>
      </c>
      <c r="X87" s="6" t="str">
        <f aca="false">IF(V87=0,"ninguno",INDEX(MCS!$A$5:$A$14,V87))</f>
        <v>256QAM 5/6</v>
      </c>
      <c r="Y87" s="7" t="n">
        <f aca="false">IF(V87=0,0,INDEX(MCS!$F$5:$F$14,V87))</f>
        <v>192.592592592593</v>
      </c>
      <c r="Z87" s="7" t="n">
        <f aca="false">IF(W87=0,0,INDEX(MCS!$F$5:$F$14,W87))</f>
        <v>173.333333333333</v>
      </c>
      <c r="AA87" s="22" t="n">
        <f aca="false">IF(Y87&gt;0,Supuestos!$C$29*Supuestos!$C$30/(Supuestos!$C$17*Y87),0)</f>
        <v>0.00718934911242604</v>
      </c>
      <c r="AB87" s="22" t="n">
        <f aca="false">IF(Z87&gt;0,Supuestos!$C$29*Supuestos!$C$31/(Supuestos!$C$17*Z87),0)</f>
        <v>0.000998520710059172</v>
      </c>
    </row>
    <row r="88" customFormat="false" ht="15" hidden="false" customHeight="false" outlineLevel="0" collapsed="false">
      <c r="A88" s="13" t="n">
        <v>84</v>
      </c>
      <c r="B88" s="17" t="n">
        <v>90</v>
      </c>
      <c r="C88" s="18" t="n">
        <v>241</v>
      </c>
      <c r="D88" s="18" t="n">
        <v>211.9</v>
      </c>
      <c r="E88" s="19" t="n">
        <v>15</v>
      </c>
      <c r="F88" s="6" t="str">
        <f aca="false">IF(AND(B88&gt;=90,B88&lt;210),"S1",IF(AND(B88&gt;=210,B88&lt;330),"S2","S3"))</f>
        <v>S1</v>
      </c>
      <c r="G88" s="6" t="n">
        <f aca="false">IF(F88="S1",Supuestos!$C$26,IF(F88="S2",Supuestos!$C$27,Supuestos!$C$28))</f>
        <v>150</v>
      </c>
      <c r="H88" s="7" t="n">
        <f aca="false">MOD(B88-G88+180,360)-180</f>
        <v>-60</v>
      </c>
      <c r="I88" s="7" t="n">
        <f aca="false">Supuestos!$C$7-(D88-Supuestos!$C$8)-Supuestos!$C$9</f>
        <v>18.1</v>
      </c>
      <c r="J88" s="7" t="n">
        <f aca="false">SQRT(C88^2+I88^2)</f>
        <v>241.678733032098</v>
      </c>
      <c r="K88" s="20" t="n">
        <f aca="false">DEGREES(ATAN2(C88,I88))</f>
        <v>4.29506358322726</v>
      </c>
      <c r="L88" s="20" t="n">
        <f aca="false">K88-(Supuestos!$C$21+Supuestos!$C$22)</f>
        <v>0.295063583227264</v>
      </c>
      <c r="M88" s="7" t="n">
        <f aca="false">MIN(6*(2*H88/Supuestos!$C$20)^2,Supuestos!$C$24)</f>
        <v>4.60333528690927</v>
      </c>
      <c r="N88" s="21" t="n">
        <f aca="false">PI()*Supuestos!$C$23/Supuestos!$C$6*SIN(RADIANS(L88))</f>
        <v>0.114872027820952</v>
      </c>
      <c r="O88" s="7" t="n">
        <f aca="false">IF(ABS(N88)&lt;0.000000001,0,MIN(-20*LOG10(MAX(ABS(SIN(N88)/N88),0.000001)),Supuestos!$C$25))</f>
        <v>0.0191109719780422</v>
      </c>
      <c r="P88" s="7" t="n">
        <f aca="false">Supuestos!$C$19-M88-O88</f>
        <v>10.8775537411127</v>
      </c>
      <c r="Q88" s="7" t="n">
        <f aca="false">32.44+20*LOG10(J88/1000)+20*LOG10(Supuestos!$C$5*1000)</f>
        <v>95.373328582087</v>
      </c>
      <c r="R88" s="7" t="n">
        <f aca="false">IF(E88&lt;=0,0,IF(E88&lt;=14,0.45*Supuestos!$C$5^0.284*E88,1.33*Supuestos!$C$5^0.284*MIN(E88,400)^0.588))</f>
        <v>10.7697804870022</v>
      </c>
      <c r="S88" s="7" t="n">
        <f aca="false">Q88+R88+Supuestos!$C$12+Supuestos!$C$13+Supuestos!$C$11-P88-Supuestos!$C$10</f>
        <v>74.0655553279765</v>
      </c>
      <c r="T88" s="7" t="n">
        <f aca="false">MCS!$E$5-S88-MCS!$G$5</f>
        <v>46.9344446720235</v>
      </c>
      <c r="U88" s="7" t="n">
        <f aca="false">T88-Supuestos!$C$15</f>
        <v>43.9344446720235</v>
      </c>
      <c r="V88" s="5" t="n">
        <f aca="false">SUMPRODUCT(--(MCS!$E$5:$E$14-$S88-MCS!$G$5:$G$14&gt;=Supuestos!$C$16))</f>
        <v>9</v>
      </c>
      <c r="W88" s="5" t="n">
        <f aca="false">SUMPRODUCT(--(MCS!$E$5:$E$14-Supuestos!$C$15-$S88-MCS!$G$5:$G$14&gt;=Supuestos!$C$16))</f>
        <v>9</v>
      </c>
      <c r="X88" s="6" t="str">
        <f aca="false">IF(V88=0,"ninguno",INDEX(MCS!$A$5:$A$14,V88))</f>
        <v>256QAM 3/4</v>
      </c>
      <c r="Y88" s="7" t="n">
        <f aca="false">IF(V88=0,0,INDEX(MCS!$F$5:$F$14,V88))</f>
        <v>173.333333333333</v>
      </c>
      <c r="Z88" s="7" t="n">
        <f aca="false">IF(W88=0,0,INDEX(MCS!$F$5:$F$14,W88))</f>
        <v>173.333333333333</v>
      </c>
      <c r="AA88" s="22" t="n">
        <f aca="false">IF(Y88&gt;0,Supuestos!$C$29*Supuestos!$C$30/(Supuestos!$C$17*Y88),0)</f>
        <v>0.00798816568047337</v>
      </c>
      <c r="AB88" s="22" t="n">
        <f aca="false">IF(Z88&gt;0,Supuestos!$C$29*Supuestos!$C$31/(Supuestos!$C$17*Z88),0)</f>
        <v>0.000998520710059172</v>
      </c>
    </row>
    <row r="89" customFormat="false" ht="15" hidden="false" customHeight="false" outlineLevel="0" collapsed="false">
      <c r="A89" s="13" t="n">
        <v>85</v>
      </c>
      <c r="B89" s="17" t="n">
        <v>75.9</v>
      </c>
      <c r="C89" s="18" t="n">
        <v>256.1</v>
      </c>
      <c r="D89" s="18" t="n">
        <v>214.9</v>
      </c>
      <c r="E89" s="19" t="n">
        <v>48</v>
      </c>
      <c r="F89" s="6" t="str">
        <f aca="false">IF(AND(B89&gt;=90,B89&lt;210),"S1",IF(AND(B89&gt;=210,B89&lt;330),"S2","S3"))</f>
        <v>S3</v>
      </c>
      <c r="G89" s="6" t="n">
        <f aca="false">IF(F89="S1",Supuestos!$C$26,IF(F89="S2",Supuestos!$C$27,Supuestos!$C$28))</f>
        <v>30</v>
      </c>
      <c r="H89" s="7" t="n">
        <f aca="false">MOD(B89-G89+180,360)-180</f>
        <v>45.9</v>
      </c>
      <c r="I89" s="7" t="n">
        <f aca="false">Supuestos!$C$7-(D89-Supuestos!$C$8)-Supuestos!$C$9</f>
        <v>15.1</v>
      </c>
      <c r="J89" s="7" t="n">
        <f aca="false">SQRT(C89^2+I89^2)</f>
        <v>256.544771921004</v>
      </c>
      <c r="K89" s="20" t="n">
        <f aca="false">DEGREES(ATAN2(C89,I89))</f>
        <v>3.37432952158117</v>
      </c>
      <c r="L89" s="20" t="n">
        <f aca="false">K89-(Supuestos!$C$21+Supuestos!$C$22)</f>
        <v>-0.625670478418829</v>
      </c>
      <c r="M89" s="7" t="n">
        <f aca="false">MIN(6*(2*H89/Supuestos!$C$20)^2,Supuestos!$C$24)</f>
        <v>2.69398689328148</v>
      </c>
      <c r="N89" s="21" t="n">
        <f aca="false">PI()*Supuestos!$C$23/Supuestos!$C$6*SIN(RADIANS(L89))</f>
        <v>-0.243577757336519</v>
      </c>
      <c r="O89" s="7" t="n">
        <f aca="false">IF(ABS(N89)&lt;0.000000001,0,MIN(-20*LOG10(MAX(ABS(SIN(N89)/N89),0.000001)),Supuestos!$C$25))</f>
        <v>0.0860596545468762</v>
      </c>
      <c r="P89" s="7" t="n">
        <f aca="false">Supuestos!$C$19-M89-O89</f>
        <v>12.7199534521716</v>
      </c>
      <c r="Q89" s="7" t="n">
        <f aca="false">32.44+20*LOG10(J89/1000)+20*LOG10(Supuestos!$C$5*1000)</f>
        <v>95.8918232447337</v>
      </c>
      <c r="R89" s="7" t="n">
        <f aca="false">IF(E89&lt;=0,0,IF(E89&lt;=14,0.45*Supuestos!$C$5^0.284*E89,1.33*Supuestos!$C$5^0.284*MIN(E89,400)^0.588))</f>
        <v>21.3419962232774</v>
      </c>
      <c r="S89" s="7" t="n">
        <f aca="false">Q89+R89+Supuestos!$C$12+Supuestos!$C$13+Supuestos!$C$11-P89-Supuestos!$C$10</f>
        <v>83.3138660158395</v>
      </c>
      <c r="T89" s="7" t="n">
        <f aca="false">MCS!$E$5-S89-MCS!$G$5</f>
        <v>37.6861339841605</v>
      </c>
      <c r="U89" s="7" t="n">
        <f aca="false">T89-Supuestos!$C$15</f>
        <v>34.6861339841605</v>
      </c>
      <c r="V89" s="5" t="n">
        <f aca="false">SUMPRODUCT(--(MCS!$E$5:$E$14-$S89-MCS!$G$5:$G$14&gt;=Supuestos!$C$16))</f>
        <v>8</v>
      </c>
      <c r="W89" s="5" t="n">
        <f aca="false">SUMPRODUCT(--(MCS!$E$5:$E$14-Supuestos!$C$15-$S89-MCS!$G$5:$G$14&gt;=Supuestos!$C$16))</f>
        <v>8</v>
      </c>
      <c r="X89" s="6" t="str">
        <f aca="false">IF(V89=0,"ninguno",INDEX(MCS!$A$5:$A$14,V89))</f>
        <v>64QAM 5/6</v>
      </c>
      <c r="Y89" s="7" t="n">
        <f aca="false">IF(V89=0,0,INDEX(MCS!$F$5:$F$14,V89))</f>
        <v>144.444444444444</v>
      </c>
      <c r="Z89" s="7" t="n">
        <f aca="false">IF(W89=0,0,INDEX(MCS!$F$5:$F$14,W89))</f>
        <v>144.444444444444</v>
      </c>
      <c r="AA89" s="22" t="n">
        <f aca="false">IF(Y89&gt;0,Supuestos!$C$29*Supuestos!$C$30/(Supuestos!$C$17*Y89),0)</f>
        <v>0.00958579881656805</v>
      </c>
      <c r="AB89" s="22" t="n">
        <f aca="false">IF(Z89&gt;0,Supuestos!$C$29*Supuestos!$C$31/(Supuestos!$C$17*Z89),0)</f>
        <v>0.00119822485207101</v>
      </c>
    </row>
    <row r="90" customFormat="false" ht="15" hidden="false" customHeight="false" outlineLevel="0" collapsed="false">
      <c r="A90" s="13" t="n">
        <v>86</v>
      </c>
      <c r="B90" s="17" t="n">
        <v>70.9</v>
      </c>
      <c r="C90" s="18" t="n">
        <v>319.3</v>
      </c>
      <c r="D90" s="18" t="n">
        <v>222.9</v>
      </c>
      <c r="E90" s="19" t="n">
        <v>75</v>
      </c>
      <c r="F90" s="6" t="str">
        <f aca="false">IF(AND(B90&gt;=90,B90&lt;210),"S1",IF(AND(B90&gt;=210,B90&lt;330),"S2","S3"))</f>
        <v>S3</v>
      </c>
      <c r="G90" s="6" t="n">
        <f aca="false">IF(F90="S1",Supuestos!$C$26,IF(F90="S2",Supuestos!$C$27,Supuestos!$C$28))</f>
        <v>30</v>
      </c>
      <c r="H90" s="7" t="n">
        <f aca="false">MOD(B90-G90+180,360)-180</f>
        <v>40.9</v>
      </c>
      <c r="I90" s="7" t="n">
        <f aca="false">Supuestos!$C$7-(D90-Supuestos!$C$8)-Supuestos!$C$9</f>
        <v>7.09999999999999</v>
      </c>
      <c r="J90" s="7" t="n">
        <f aca="false">SQRT(C90^2+I90^2)</f>
        <v>319.378928547267</v>
      </c>
      <c r="K90" s="20" t="n">
        <f aca="false">DEGREES(ATAN2(C90,I90))</f>
        <v>1.27382714545682</v>
      </c>
      <c r="L90" s="20" t="n">
        <f aca="false">K90-(Supuestos!$C$21+Supuestos!$C$22)</f>
        <v>-2.72617285454318</v>
      </c>
      <c r="M90" s="7" t="n">
        <f aca="false">MIN(6*(2*H90/Supuestos!$C$20)^2,Supuestos!$C$24)</f>
        <v>2.13902925035964</v>
      </c>
      <c r="N90" s="21" t="n">
        <f aca="false">PI()*Supuestos!$C$23/Supuestos!$C$6*SIN(RADIANS(L90))</f>
        <v>-1.06093824119877</v>
      </c>
      <c r="O90" s="7" t="n">
        <f aca="false">IF(ABS(N90)&lt;0.000000001,0,MIN(-20*LOG10(MAX(ABS(SIN(N90)/N90),0.000001)),Supuestos!$C$25))</f>
        <v>1.69537020596096</v>
      </c>
      <c r="P90" s="7" t="n">
        <f aca="false">Supuestos!$C$19-M90-O90</f>
        <v>11.6656005436794</v>
      </c>
      <c r="Q90" s="7" t="n">
        <f aca="false">32.44+20*LOG10(J90/1000)+20*LOG10(Supuestos!$C$5*1000)</f>
        <v>97.7946850630048</v>
      </c>
      <c r="R90" s="7" t="n">
        <f aca="false">IF(E90&lt;=0,0,IF(E90&lt;=14,0.45*Supuestos!$C$5^0.284*E90,1.33*Supuestos!$C$5^0.284*MIN(E90,400)^0.588))</f>
        <v>27.7460531591493</v>
      </c>
      <c r="S90" s="7" t="n">
        <f aca="false">Q90+R90+Supuestos!$C$12+Supuestos!$C$13+Supuestos!$C$11-P90-Supuestos!$C$10</f>
        <v>92.6751376784747</v>
      </c>
      <c r="T90" s="7" t="n">
        <f aca="false">MCS!$E$5-S90-MCS!$G$5</f>
        <v>28.3248623215253</v>
      </c>
      <c r="U90" s="7" t="n">
        <f aca="false">T90-Supuestos!$C$15</f>
        <v>25.3248623215253</v>
      </c>
      <c r="V90" s="5" t="n">
        <f aca="false">SUMPRODUCT(--(MCS!$E$5:$E$14-$S90-MCS!$G$5:$G$14&gt;=Supuestos!$C$16))</f>
        <v>6</v>
      </c>
      <c r="W90" s="5" t="n">
        <f aca="false">SUMPRODUCT(--(MCS!$E$5:$E$14-Supuestos!$C$15-$S90-MCS!$G$5:$G$14&gt;=Supuestos!$C$16))</f>
        <v>6</v>
      </c>
      <c r="X90" s="6" t="str">
        <f aca="false">IF(V90=0,"ninguno",INDEX(MCS!$A$5:$A$14,V90))</f>
        <v>64QAM 2/3</v>
      </c>
      <c r="Y90" s="7" t="n">
        <f aca="false">IF(V90=0,0,INDEX(MCS!$F$5:$F$14,V90))</f>
        <v>115.555555555556</v>
      </c>
      <c r="Z90" s="7" t="n">
        <f aca="false">IF(W90=0,0,INDEX(MCS!$F$5:$F$14,W90))</f>
        <v>115.555555555556</v>
      </c>
      <c r="AA90" s="22" t="n">
        <f aca="false">IF(Y90&gt;0,Supuestos!$C$29*Supuestos!$C$30/(Supuestos!$C$17*Y90),0)</f>
        <v>0.0119822485207101</v>
      </c>
      <c r="AB90" s="22" t="n">
        <f aca="false">IF(Z90&gt;0,Supuestos!$C$29*Supuestos!$C$31/(Supuestos!$C$17*Z90),0)</f>
        <v>0.00149778106508876</v>
      </c>
    </row>
    <row r="91" customFormat="false" ht="15" hidden="false" customHeight="false" outlineLevel="0" collapsed="false">
      <c r="A91" s="13" t="n">
        <v>87</v>
      </c>
      <c r="B91" s="17" t="n">
        <v>75</v>
      </c>
      <c r="C91" s="18" t="n">
        <v>343.6</v>
      </c>
      <c r="D91" s="18" t="n">
        <v>226.2</v>
      </c>
      <c r="E91" s="19" t="n">
        <v>26</v>
      </c>
      <c r="F91" s="6" t="str">
        <f aca="false">IF(AND(B91&gt;=90,B91&lt;210),"S1",IF(AND(B91&gt;=210,B91&lt;330),"S2","S3"))</f>
        <v>S3</v>
      </c>
      <c r="G91" s="6" t="n">
        <f aca="false">IF(F91="S1",Supuestos!$C$26,IF(F91="S2",Supuestos!$C$27,Supuestos!$C$28))</f>
        <v>30</v>
      </c>
      <c r="H91" s="7" t="n">
        <f aca="false">MOD(B91-G91+180,360)-180</f>
        <v>45</v>
      </c>
      <c r="I91" s="7" t="n">
        <f aca="false">Supuestos!$C$7-(D91-Supuestos!$C$8)-Supuestos!$C$9</f>
        <v>3.80000000000001</v>
      </c>
      <c r="J91" s="7" t="n">
        <f aca="false">SQRT(C91^2+I91^2)</f>
        <v>343.62101216311</v>
      </c>
      <c r="K91" s="20" t="n">
        <f aca="false">DEGREES(ATAN2(C91,I91))</f>
        <v>0.63362947094667</v>
      </c>
      <c r="L91" s="20" t="n">
        <f aca="false">K91-(Supuestos!$C$21+Supuestos!$C$22)</f>
        <v>-3.36637052905333</v>
      </c>
      <c r="M91" s="7" t="n">
        <f aca="false">MIN(6*(2*H91/Supuestos!$C$20)^2,Supuestos!$C$24)</f>
        <v>2.58937609888646</v>
      </c>
      <c r="N91" s="21" t="n">
        <f aca="false">PI()*Supuestos!$C$23/Supuestos!$C$6*SIN(RADIANS(L91))</f>
        <v>-1.30982300528912</v>
      </c>
      <c r="O91" s="7" t="n">
        <f aca="false">IF(ABS(N91)&lt;0.000000001,0,MIN(-20*LOG10(MAX(ABS(SIN(N91)/N91),0.000001)),Supuestos!$C$25))</f>
        <v>2.64345732525773</v>
      </c>
      <c r="P91" s="7" t="n">
        <f aca="false">Supuestos!$C$19-M91-O91</f>
        <v>10.2671665758558</v>
      </c>
      <c r="Q91" s="7" t="n">
        <f aca="false">32.44+20*LOG10(J91/1000)+20*LOG10(Supuestos!$C$5*1000)</f>
        <v>98.4301541262169</v>
      </c>
      <c r="R91" s="7" t="n">
        <f aca="false">IF(E91&lt;=0,0,IF(E91&lt;=14,0.45*Supuestos!$C$5^0.284*E91,1.33*Supuestos!$C$5^0.284*MIN(E91,400)^0.588))</f>
        <v>14.8822816623753</v>
      </c>
      <c r="S91" s="7" t="n">
        <f aca="false">Q91+R91+Supuestos!$C$12+Supuestos!$C$13+Supuestos!$C$11-P91-Supuestos!$C$10</f>
        <v>81.8452692127363</v>
      </c>
      <c r="T91" s="7" t="n">
        <f aca="false">MCS!$E$5-S91-MCS!$G$5</f>
        <v>39.1547307872637</v>
      </c>
      <c r="U91" s="7" t="n">
        <f aca="false">T91-Supuestos!$C$15</f>
        <v>36.1547307872637</v>
      </c>
      <c r="V91" s="5" t="n">
        <f aca="false">SUMPRODUCT(--(MCS!$E$5:$E$14-$S91-MCS!$G$5:$G$14&gt;=Supuestos!$C$16))</f>
        <v>8</v>
      </c>
      <c r="W91" s="5" t="n">
        <f aca="false">SUMPRODUCT(--(MCS!$E$5:$E$14-Supuestos!$C$15-$S91-MCS!$G$5:$G$14&gt;=Supuestos!$C$16))</f>
        <v>8</v>
      </c>
      <c r="X91" s="6" t="str">
        <f aca="false">IF(V91=0,"ninguno",INDEX(MCS!$A$5:$A$14,V91))</f>
        <v>64QAM 5/6</v>
      </c>
      <c r="Y91" s="7" t="n">
        <f aca="false">IF(V91=0,0,INDEX(MCS!$F$5:$F$14,V91))</f>
        <v>144.444444444444</v>
      </c>
      <c r="Z91" s="7" t="n">
        <f aca="false">IF(W91=0,0,INDEX(MCS!$F$5:$F$14,W91))</f>
        <v>144.444444444444</v>
      </c>
      <c r="AA91" s="22" t="n">
        <f aca="false">IF(Y91&gt;0,Supuestos!$C$29*Supuestos!$C$30/(Supuestos!$C$17*Y91),0)</f>
        <v>0.00958579881656805</v>
      </c>
      <c r="AB91" s="22" t="n">
        <f aca="false">IF(Z91&gt;0,Supuestos!$C$29*Supuestos!$C$31/(Supuestos!$C$17*Z91),0)</f>
        <v>0.00119822485207101</v>
      </c>
    </row>
    <row r="92" customFormat="false" ht="15" hidden="false" customHeight="false" outlineLevel="0" collapsed="false">
      <c r="A92" s="13" t="n">
        <v>88</v>
      </c>
      <c r="B92" s="17" t="n">
        <v>74.3</v>
      </c>
      <c r="C92" s="18" t="n">
        <v>300</v>
      </c>
      <c r="D92" s="18" t="n">
        <v>219.2</v>
      </c>
      <c r="E92" s="19" t="n">
        <v>39</v>
      </c>
      <c r="F92" s="6" t="str">
        <f aca="false">IF(AND(B92&gt;=90,B92&lt;210),"S1",IF(AND(B92&gt;=210,B92&lt;330),"S2","S3"))</f>
        <v>S3</v>
      </c>
      <c r="G92" s="6" t="n">
        <f aca="false">IF(F92="S1",Supuestos!$C$26,IF(F92="S2",Supuestos!$C$27,Supuestos!$C$28))</f>
        <v>30</v>
      </c>
      <c r="H92" s="7" t="n">
        <f aca="false">MOD(B92-G92+180,360)-180</f>
        <v>44.3</v>
      </c>
      <c r="I92" s="7" t="n">
        <f aca="false">Supuestos!$C$7-(D92-Supuestos!$C$8)-Supuestos!$C$9</f>
        <v>10.8</v>
      </c>
      <c r="J92" s="7" t="n">
        <f aca="false">SQRT(C92^2+I92^2)</f>
        <v>300.194337055182</v>
      </c>
      <c r="K92" s="20" t="n">
        <f aca="false">DEGREES(ATAN2(C92,I92))</f>
        <v>2.06175769075854</v>
      </c>
      <c r="L92" s="20" t="n">
        <f aca="false">K92-(Supuestos!$C$21+Supuestos!$C$22)</f>
        <v>-1.93824230924146</v>
      </c>
      <c r="M92" s="7" t="n">
        <f aca="false">MIN(6*(2*H92/Supuestos!$C$20)^2,Supuestos!$C$24)</f>
        <v>2.50944429644627</v>
      </c>
      <c r="N92" s="21" t="n">
        <f aca="false">PI()*Supuestos!$C$23/Supuestos!$C$6*SIN(RADIANS(L92))</f>
        <v>-0.754441948954098</v>
      </c>
      <c r="O92" s="7" t="n">
        <f aca="false">IF(ABS(N92)&lt;0.000000001,0,MIN(-20*LOG10(MAX(ABS(SIN(N92)/N92),0.000001)),Supuestos!$C$25))</f>
        <v>0.840199627615175</v>
      </c>
      <c r="P92" s="7" t="n">
        <f aca="false">Supuestos!$C$19-M92-O92</f>
        <v>12.1503560759386</v>
      </c>
      <c r="Q92" s="7" t="n">
        <f aca="false">32.44+20*LOG10(J92/1000)+20*LOG10(Supuestos!$C$5*1000)</f>
        <v>97.2566097780458</v>
      </c>
      <c r="R92" s="7" t="n">
        <f aca="false">IF(E92&lt;=0,0,IF(E92&lt;=14,0.45*Supuestos!$C$5^0.284*E92,1.33*Supuestos!$C$5^0.284*MIN(E92,400)^0.588))</f>
        <v>18.889096271681</v>
      </c>
      <c r="S92" s="7" t="n">
        <f aca="false">Q92+R92+Supuestos!$C$12+Supuestos!$C$13+Supuestos!$C$11-P92-Supuestos!$C$10</f>
        <v>82.7953499737883</v>
      </c>
      <c r="T92" s="7" t="n">
        <f aca="false">MCS!$E$5-S92-MCS!$G$5</f>
        <v>38.2046500262117</v>
      </c>
      <c r="U92" s="7" t="n">
        <f aca="false">T92-Supuestos!$C$15</f>
        <v>35.2046500262117</v>
      </c>
      <c r="V92" s="5" t="n">
        <f aca="false">SUMPRODUCT(--(MCS!$E$5:$E$14-$S92-MCS!$G$5:$G$14&gt;=Supuestos!$C$16))</f>
        <v>8</v>
      </c>
      <c r="W92" s="5" t="n">
        <f aca="false">SUMPRODUCT(--(MCS!$E$5:$E$14-Supuestos!$C$15-$S92-MCS!$G$5:$G$14&gt;=Supuestos!$C$16))</f>
        <v>8</v>
      </c>
      <c r="X92" s="6" t="str">
        <f aca="false">IF(V92=0,"ninguno",INDEX(MCS!$A$5:$A$14,V92))</f>
        <v>64QAM 5/6</v>
      </c>
      <c r="Y92" s="7" t="n">
        <f aca="false">IF(V92=0,0,INDEX(MCS!$F$5:$F$14,V92))</f>
        <v>144.444444444444</v>
      </c>
      <c r="Z92" s="7" t="n">
        <f aca="false">IF(W92=0,0,INDEX(MCS!$F$5:$F$14,W92))</f>
        <v>144.444444444444</v>
      </c>
      <c r="AA92" s="22" t="n">
        <f aca="false">IF(Y92&gt;0,Supuestos!$C$29*Supuestos!$C$30/(Supuestos!$C$17*Y92),0)</f>
        <v>0.00958579881656805</v>
      </c>
      <c r="AB92" s="22" t="n">
        <f aca="false">IF(Z92&gt;0,Supuestos!$C$29*Supuestos!$C$31/(Supuestos!$C$17*Z92),0)</f>
        <v>0.00119822485207101</v>
      </c>
    </row>
    <row r="93" customFormat="false" ht="15" hidden="false" customHeight="false" outlineLevel="0" collapsed="false">
      <c r="A93" s="13" t="n">
        <v>89</v>
      </c>
      <c r="B93" s="17" t="n">
        <v>77.9</v>
      </c>
      <c r="C93" s="18" t="n">
        <v>289.5</v>
      </c>
      <c r="D93" s="18" t="n">
        <v>216.7</v>
      </c>
      <c r="E93" s="19" t="n">
        <v>35</v>
      </c>
      <c r="F93" s="6" t="str">
        <f aca="false">IF(AND(B93&gt;=90,B93&lt;210),"S1",IF(AND(B93&gt;=210,B93&lt;330),"S2","S3"))</f>
        <v>S3</v>
      </c>
      <c r="G93" s="6" t="n">
        <f aca="false">IF(F93="S1",Supuestos!$C$26,IF(F93="S2",Supuestos!$C$27,Supuestos!$C$28))</f>
        <v>30</v>
      </c>
      <c r="H93" s="7" t="n">
        <f aca="false">MOD(B93-G93+180,360)-180</f>
        <v>47.9</v>
      </c>
      <c r="I93" s="7" t="n">
        <f aca="false">Supuestos!$C$7-(D93-Supuestos!$C$8)-Supuestos!$C$9</f>
        <v>13.3</v>
      </c>
      <c r="J93" s="7" t="n">
        <f aca="false">SQRT(C93^2+I93^2)</f>
        <v>289.805348466863</v>
      </c>
      <c r="K93" s="20" t="n">
        <f aca="false">DEGREES(ATAN2(C93,I93))</f>
        <v>2.63039180977659</v>
      </c>
      <c r="L93" s="20" t="n">
        <f aca="false">K93-(Supuestos!$C$21+Supuestos!$C$22)</f>
        <v>-1.36960819022341</v>
      </c>
      <c r="M93" s="7" t="n">
        <f aca="false">MIN(6*(2*H93/Supuestos!$C$20)^2,Supuestos!$C$24)</f>
        <v>2.9338718098993</v>
      </c>
      <c r="N93" s="21" t="n">
        <f aca="false">PI()*Supuestos!$C$23/Supuestos!$C$6*SIN(RADIANS(L93))</f>
        <v>-0.533157568665926</v>
      </c>
      <c r="O93" s="7" t="n">
        <f aca="false">IF(ABS(N93)&lt;0.000000001,0,MIN(-20*LOG10(MAX(ABS(SIN(N93)/N93),0.000001)),Supuestos!$C$25))</f>
        <v>0.415475149473256</v>
      </c>
      <c r="P93" s="7" t="n">
        <f aca="false">Supuestos!$C$19-M93-O93</f>
        <v>12.1506530406274</v>
      </c>
      <c r="Q93" s="7" t="n">
        <f aca="false">32.44+20*LOG10(J93/1000)+20*LOG10(Supuestos!$C$5*1000)</f>
        <v>96.950687796806</v>
      </c>
      <c r="R93" s="7" t="n">
        <f aca="false">IF(E93&lt;=0,0,IF(E93&lt;=14,0.45*Supuestos!$C$5^0.284*E93,1.33*Supuestos!$C$5^0.284*MIN(E93,400)^0.588))</f>
        <v>17.7246309437494</v>
      </c>
      <c r="S93" s="7" t="n">
        <f aca="false">Q93+R93+Supuestos!$C$12+Supuestos!$C$13+Supuestos!$C$11-P93-Supuestos!$C$10</f>
        <v>81.3246656999279</v>
      </c>
      <c r="T93" s="7" t="n">
        <f aca="false">MCS!$E$5-S93-MCS!$G$5</f>
        <v>39.6753343000721</v>
      </c>
      <c r="U93" s="7" t="n">
        <f aca="false">T93-Supuestos!$C$15</f>
        <v>36.6753343000721</v>
      </c>
      <c r="V93" s="5" t="n">
        <f aca="false">SUMPRODUCT(--(MCS!$E$5:$E$14-$S93-MCS!$G$5:$G$14&gt;=Supuestos!$C$16))</f>
        <v>8</v>
      </c>
      <c r="W93" s="5" t="n">
        <f aca="false">SUMPRODUCT(--(MCS!$E$5:$E$14-Supuestos!$C$15-$S93-MCS!$G$5:$G$14&gt;=Supuestos!$C$16))</f>
        <v>8</v>
      </c>
      <c r="X93" s="6" t="str">
        <f aca="false">IF(V93=0,"ninguno",INDEX(MCS!$A$5:$A$14,V93))</f>
        <v>64QAM 5/6</v>
      </c>
      <c r="Y93" s="7" t="n">
        <f aca="false">IF(V93=0,0,INDEX(MCS!$F$5:$F$14,V93))</f>
        <v>144.444444444444</v>
      </c>
      <c r="Z93" s="7" t="n">
        <f aca="false">IF(W93=0,0,INDEX(MCS!$F$5:$F$14,W93))</f>
        <v>144.444444444444</v>
      </c>
      <c r="AA93" s="22" t="n">
        <f aca="false">IF(Y93&gt;0,Supuestos!$C$29*Supuestos!$C$30/(Supuestos!$C$17*Y93),0)</f>
        <v>0.00958579881656805</v>
      </c>
      <c r="AB93" s="22" t="n">
        <f aca="false">IF(Z93&gt;0,Supuestos!$C$29*Supuestos!$C$31/(Supuestos!$C$17*Z93),0)</f>
        <v>0.00119822485207101</v>
      </c>
    </row>
    <row r="94" customFormat="false" ht="15" hidden="false" customHeight="false" outlineLevel="0" collapsed="false">
      <c r="A94" s="13" t="n">
        <v>90</v>
      </c>
      <c r="B94" s="17" t="n">
        <v>84.6</v>
      </c>
      <c r="C94" s="18" t="n">
        <v>281.4</v>
      </c>
      <c r="D94" s="18" t="n">
        <v>213.5</v>
      </c>
      <c r="E94" s="19" t="n">
        <v>25</v>
      </c>
      <c r="F94" s="6" t="str">
        <f aca="false">IF(AND(B94&gt;=90,B94&lt;210),"S1",IF(AND(B94&gt;=210,B94&lt;330),"S2","S3"))</f>
        <v>S3</v>
      </c>
      <c r="G94" s="6" t="n">
        <f aca="false">IF(F94="S1",Supuestos!$C$26,IF(F94="S2",Supuestos!$C$27,Supuestos!$C$28))</f>
        <v>30</v>
      </c>
      <c r="H94" s="7" t="n">
        <f aca="false">MOD(B94-G94+180,360)-180</f>
        <v>54.6</v>
      </c>
      <c r="I94" s="7" t="n">
        <f aca="false">Supuestos!$C$7-(D94-Supuestos!$C$8)-Supuestos!$C$9</f>
        <v>16.5</v>
      </c>
      <c r="J94" s="7" t="n">
        <f aca="false">SQRT(C94^2+I94^2)</f>
        <v>281.883326928004</v>
      </c>
      <c r="K94" s="20" t="n">
        <f aca="false">DEGREES(ATAN2(C94,I94))</f>
        <v>3.35571837628992</v>
      </c>
      <c r="L94" s="20" t="n">
        <f aca="false">K94-(Supuestos!$C$21+Supuestos!$C$22)</f>
        <v>-0.644281623710077</v>
      </c>
      <c r="M94" s="7" t="n">
        <f aca="false">MIN(6*(2*H94/Supuestos!$C$20)^2,Supuestos!$C$24)</f>
        <v>3.81202195108956</v>
      </c>
      <c r="N94" s="21" t="n">
        <f aca="false">PI()*Supuestos!$C$23/Supuestos!$C$6*SIN(RADIANS(L94))</f>
        <v>-0.250822901345607</v>
      </c>
      <c r="O94" s="7" t="n">
        <f aca="false">IF(ABS(N94)&lt;0.000000001,0,MIN(-20*LOG10(MAX(ABS(SIN(N94)/N94),0.000001)),Supuestos!$C$25))</f>
        <v>0.0912663896961231</v>
      </c>
      <c r="P94" s="7" t="n">
        <f aca="false">Supuestos!$C$19-M94-O94</f>
        <v>11.5967116592143</v>
      </c>
      <c r="Q94" s="7" t="n">
        <f aca="false">32.44+20*LOG10(J94/1000)+20*LOG10(Supuestos!$C$5*1000)</f>
        <v>96.709947643582</v>
      </c>
      <c r="R94" s="7" t="n">
        <f aca="false">IF(E94&lt;=0,0,IF(E94&lt;=14,0.45*Supuestos!$C$5^0.284*E94,1.33*Supuestos!$C$5^0.284*MIN(E94,400)^0.588))</f>
        <v>14.5429970571583</v>
      </c>
      <c r="S94" s="7" t="n">
        <f aca="false">Q94+R94+Supuestos!$C$12+Supuestos!$C$13+Supuestos!$C$11-P94-Supuestos!$C$10</f>
        <v>78.4562330415259</v>
      </c>
      <c r="T94" s="7" t="n">
        <f aca="false">MCS!$E$5-S94-MCS!$G$5</f>
        <v>42.5437669584741</v>
      </c>
      <c r="U94" s="7" t="n">
        <f aca="false">T94-Supuestos!$C$15</f>
        <v>39.5437669584741</v>
      </c>
      <c r="V94" s="5" t="n">
        <f aca="false">SUMPRODUCT(--(MCS!$E$5:$E$14-$S94-MCS!$G$5:$G$14&gt;=Supuestos!$C$16))</f>
        <v>9</v>
      </c>
      <c r="W94" s="5" t="n">
        <f aca="false">SUMPRODUCT(--(MCS!$E$5:$E$14-Supuestos!$C$15-$S94-MCS!$G$5:$G$14&gt;=Supuestos!$C$16))</f>
        <v>8</v>
      </c>
      <c r="X94" s="6" t="str">
        <f aca="false">IF(V94=0,"ninguno",INDEX(MCS!$A$5:$A$14,V94))</f>
        <v>256QAM 3/4</v>
      </c>
      <c r="Y94" s="7" t="n">
        <f aca="false">IF(V94=0,0,INDEX(MCS!$F$5:$F$14,V94))</f>
        <v>173.333333333333</v>
      </c>
      <c r="Z94" s="7" t="n">
        <f aca="false">IF(W94=0,0,INDEX(MCS!$F$5:$F$14,W94))</f>
        <v>144.444444444444</v>
      </c>
      <c r="AA94" s="22" t="n">
        <f aca="false">IF(Y94&gt;0,Supuestos!$C$29*Supuestos!$C$30/(Supuestos!$C$17*Y94),0)</f>
        <v>0.00798816568047337</v>
      </c>
      <c r="AB94" s="22" t="n">
        <f aca="false">IF(Z94&gt;0,Supuestos!$C$29*Supuestos!$C$31/(Supuestos!$C$17*Z94),0)</f>
        <v>0.00119822485207101</v>
      </c>
    </row>
    <row r="95" customFormat="false" ht="15" hidden="false" customHeight="false" outlineLevel="0" collapsed="false">
      <c r="A95" s="13" t="n">
        <v>91</v>
      </c>
      <c r="B95" s="17" t="n">
        <v>85</v>
      </c>
      <c r="C95" s="18" t="n">
        <v>331.1</v>
      </c>
      <c r="D95" s="18" t="n">
        <v>219.2</v>
      </c>
      <c r="E95" s="19" t="n">
        <v>34</v>
      </c>
      <c r="F95" s="6" t="str">
        <f aca="false">IF(AND(B95&gt;=90,B95&lt;210),"S1",IF(AND(B95&gt;=210,B95&lt;330),"S2","S3"))</f>
        <v>S3</v>
      </c>
      <c r="G95" s="6" t="n">
        <f aca="false">IF(F95="S1",Supuestos!$C$26,IF(F95="S2",Supuestos!$C$27,Supuestos!$C$28))</f>
        <v>30</v>
      </c>
      <c r="H95" s="7" t="n">
        <f aca="false">MOD(B95-G95+180,360)-180</f>
        <v>55</v>
      </c>
      <c r="I95" s="7" t="n">
        <f aca="false">Supuestos!$C$7-(D95-Supuestos!$C$8)-Supuestos!$C$9</f>
        <v>10.8</v>
      </c>
      <c r="J95" s="7" t="n">
        <f aca="false">SQRT(C95^2+I95^2)</f>
        <v>331.276093311908</v>
      </c>
      <c r="K95" s="20" t="n">
        <f aca="false">DEGREES(ATAN2(C95,I95))</f>
        <v>1.86824252275964</v>
      </c>
      <c r="L95" s="20" t="n">
        <f aca="false">K95-(Supuestos!$C$21+Supuestos!$C$22)</f>
        <v>-2.13175747724036</v>
      </c>
      <c r="M95" s="7" t="n">
        <f aca="false">MIN(6*(2*H95/Supuestos!$C$20)^2,Supuestos!$C$24)</f>
        <v>3.86808034525015</v>
      </c>
      <c r="N95" s="21" t="n">
        <f aca="false">PI()*Supuestos!$C$23/Supuestos!$C$6*SIN(RADIANS(L95))</f>
        <v>-0.829732662588233</v>
      </c>
      <c r="O95" s="7" t="n">
        <f aca="false">IF(ABS(N95)&lt;0.000000001,0,MIN(-20*LOG10(MAX(ABS(SIN(N95)/N95),0.000001)),Supuestos!$C$25))</f>
        <v>1.02056847399474</v>
      </c>
      <c r="P95" s="7" t="n">
        <f aca="false">Supuestos!$C$19-M95-O95</f>
        <v>10.6113511807551</v>
      </c>
      <c r="Q95" s="7" t="n">
        <f aca="false">32.44+20*LOG10(J95/1000)+20*LOG10(Supuestos!$C$5*1000)</f>
        <v>98.1123617903866</v>
      </c>
      <c r="R95" s="7" t="n">
        <f aca="false">IF(E95&lt;=0,0,IF(E95&lt;=14,0.45*Supuestos!$C$5^0.284*E95,1.33*Supuestos!$C$5^0.284*MIN(E95,400)^0.588))</f>
        <v>17.4250805497971</v>
      </c>
      <c r="S95" s="7" t="n">
        <f aca="false">Q95+R95+Supuestos!$C$12+Supuestos!$C$13+Supuestos!$C$11-P95-Supuestos!$C$10</f>
        <v>83.7260911594286</v>
      </c>
      <c r="T95" s="7" t="n">
        <f aca="false">MCS!$E$5-S95-MCS!$G$5</f>
        <v>37.2739088405714</v>
      </c>
      <c r="U95" s="7" t="n">
        <f aca="false">T95-Supuestos!$C$15</f>
        <v>34.2739088405714</v>
      </c>
      <c r="V95" s="5" t="n">
        <f aca="false">SUMPRODUCT(--(MCS!$E$5:$E$14-$S95-MCS!$G$5:$G$14&gt;=Supuestos!$C$16))</f>
        <v>8</v>
      </c>
      <c r="W95" s="5" t="n">
        <f aca="false">SUMPRODUCT(--(MCS!$E$5:$E$14-Supuestos!$C$15-$S95-MCS!$G$5:$G$14&gt;=Supuestos!$C$16))</f>
        <v>8</v>
      </c>
      <c r="X95" s="6" t="str">
        <f aca="false">IF(V95=0,"ninguno",INDEX(MCS!$A$5:$A$14,V95))</f>
        <v>64QAM 5/6</v>
      </c>
      <c r="Y95" s="7" t="n">
        <f aca="false">IF(V95=0,0,INDEX(MCS!$F$5:$F$14,V95))</f>
        <v>144.444444444444</v>
      </c>
      <c r="Z95" s="7" t="n">
        <f aca="false">IF(W95=0,0,INDEX(MCS!$F$5:$F$14,W95))</f>
        <v>144.444444444444</v>
      </c>
      <c r="AA95" s="22" t="n">
        <f aca="false">IF(Y95&gt;0,Supuestos!$C$29*Supuestos!$C$30/(Supuestos!$C$17*Y95),0)</f>
        <v>0.00958579881656805</v>
      </c>
      <c r="AB95" s="22" t="n">
        <f aca="false">IF(Z95&gt;0,Supuestos!$C$29*Supuestos!$C$31/(Supuestos!$C$17*Z95),0)</f>
        <v>0.00119822485207101</v>
      </c>
    </row>
    <row r="96" customFormat="false" ht="15" hidden="false" customHeight="false" outlineLevel="0" collapsed="false">
      <c r="A96" s="13" t="n">
        <v>92</v>
      </c>
      <c r="B96" s="17" t="n">
        <v>86.7</v>
      </c>
      <c r="C96" s="18" t="n">
        <v>372.6</v>
      </c>
      <c r="D96" s="18" t="n">
        <v>228.4</v>
      </c>
      <c r="E96" s="19" t="n">
        <v>31</v>
      </c>
      <c r="F96" s="6" t="str">
        <f aca="false">IF(AND(B96&gt;=90,B96&lt;210),"S1",IF(AND(B96&gt;=210,B96&lt;330),"S2","S3"))</f>
        <v>S3</v>
      </c>
      <c r="G96" s="6" t="n">
        <f aca="false">IF(F96="S1",Supuestos!$C$26,IF(F96="S2",Supuestos!$C$27,Supuestos!$C$28))</f>
        <v>30</v>
      </c>
      <c r="H96" s="7" t="n">
        <f aca="false">MOD(B96-G96+180,360)-180</f>
        <v>56.7</v>
      </c>
      <c r="I96" s="7" t="n">
        <f aca="false">Supuestos!$C$7-(D96-Supuestos!$C$8)-Supuestos!$C$9</f>
        <v>1.59999999999999</v>
      </c>
      <c r="J96" s="7" t="n">
        <f aca="false">SQRT(C96^2+I96^2)</f>
        <v>372.603435303541</v>
      </c>
      <c r="K96" s="20" t="n">
        <f aca="false">DEGREES(ATAN2(C96,I96))</f>
        <v>0.246035114736726</v>
      </c>
      <c r="L96" s="20" t="n">
        <f aca="false">K96-(Supuestos!$C$21+Supuestos!$C$22)</f>
        <v>-3.75396488526327</v>
      </c>
      <c r="M96" s="7" t="n">
        <f aca="false">MIN(6*(2*H96/Supuestos!$C$20)^2,Supuestos!$C$24)</f>
        <v>4.11089349459215</v>
      </c>
      <c r="N96" s="21" t="n">
        <f aca="false">PI()*Supuestos!$C$23/Supuestos!$C$6*SIN(RADIANS(L96))</f>
        <v>-1.46042761818883</v>
      </c>
      <c r="O96" s="7" t="n">
        <f aca="false">IF(ABS(N96)&lt;0.000000001,0,MIN(-20*LOG10(MAX(ABS(SIN(N96)/N96),0.000001)),Supuestos!$C$25))</f>
        <v>3.34261100407995</v>
      </c>
      <c r="P96" s="7" t="n">
        <f aca="false">Supuestos!$C$19-M96-O96</f>
        <v>8.04649550132791</v>
      </c>
      <c r="Q96" s="7" t="n">
        <f aca="false">32.44+20*LOG10(J96/1000)+20*LOG10(Supuestos!$C$5*1000)</f>
        <v>99.1334969644006</v>
      </c>
      <c r="R96" s="7" t="n">
        <f aca="false">IF(E96&lt;=0,0,IF(E96&lt;=14,0.45*Supuestos!$C$5^0.284*E96,1.33*Supuestos!$C$5^0.284*MIN(E96,400)^0.588))</f>
        <v>16.5038727758886</v>
      </c>
      <c r="S96" s="7" t="n">
        <f aca="false">Q96+R96+Supuestos!$C$12+Supuestos!$C$13+Supuestos!$C$11-P96-Supuestos!$C$10</f>
        <v>86.3908742389613</v>
      </c>
      <c r="T96" s="7" t="n">
        <f aca="false">MCS!$E$5-S96-MCS!$G$5</f>
        <v>34.6091257610387</v>
      </c>
      <c r="U96" s="7" t="n">
        <f aca="false">T96-Supuestos!$C$15</f>
        <v>31.6091257610387</v>
      </c>
      <c r="V96" s="5" t="n">
        <f aca="false">SUMPRODUCT(--(MCS!$E$5:$E$14-$S96-MCS!$G$5:$G$14&gt;=Supuestos!$C$16))</f>
        <v>8</v>
      </c>
      <c r="W96" s="5" t="n">
        <f aca="false">SUMPRODUCT(--(MCS!$E$5:$E$14-Supuestos!$C$15-$S96-MCS!$G$5:$G$14&gt;=Supuestos!$C$16))</f>
        <v>7</v>
      </c>
      <c r="X96" s="6" t="str">
        <f aca="false">IF(V96=0,"ninguno",INDEX(MCS!$A$5:$A$14,V96))</f>
        <v>64QAM 5/6</v>
      </c>
      <c r="Y96" s="7" t="n">
        <f aca="false">IF(V96=0,0,INDEX(MCS!$F$5:$F$14,V96))</f>
        <v>144.444444444444</v>
      </c>
      <c r="Z96" s="7" t="n">
        <f aca="false">IF(W96=0,0,INDEX(MCS!$F$5:$F$14,W96))</f>
        <v>130</v>
      </c>
      <c r="AA96" s="22" t="n">
        <f aca="false">IF(Y96&gt;0,Supuestos!$C$29*Supuestos!$C$30/(Supuestos!$C$17*Y96),0)</f>
        <v>0.00958579881656805</v>
      </c>
      <c r="AB96" s="22" t="n">
        <f aca="false">IF(Z96&gt;0,Supuestos!$C$29*Supuestos!$C$31/(Supuestos!$C$17*Z96),0)</f>
        <v>0.00133136094674556</v>
      </c>
    </row>
    <row r="97" customFormat="false" ht="15" hidden="false" customHeight="false" outlineLevel="0" collapsed="false">
      <c r="A97" s="13" t="n">
        <v>93</v>
      </c>
      <c r="B97" s="17" t="n">
        <v>86.8</v>
      </c>
      <c r="C97" s="18" t="n">
        <v>402.4</v>
      </c>
      <c r="D97" s="18" t="n">
        <v>237</v>
      </c>
      <c r="E97" s="19" t="n">
        <v>13</v>
      </c>
      <c r="F97" s="6" t="str">
        <f aca="false">IF(AND(B97&gt;=90,B97&lt;210),"S1",IF(AND(B97&gt;=210,B97&lt;330),"S2","S3"))</f>
        <v>S3</v>
      </c>
      <c r="G97" s="6" t="n">
        <f aca="false">IF(F97="S1",Supuestos!$C$26,IF(F97="S2",Supuestos!$C$27,Supuestos!$C$28))</f>
        <v>30</v>
      </c>
      <c r="H97" s="7" t="n">
        <f aca="false">MOD(B97-G97+180,360)-180</f>
        <v>56.8</v>
      </c>
      <c r="I97" s="7" t="n">
        <f aca="false">Supuestos!$C$7-(D97-Supuestos!$C$8)-Supuestos!$C$9</f>
        <v>-7</v>
      </c>
      <c r="J97" s="7" t="n">
        <f aca="false">SQRT(C97^2+I97^2)</f>
        <v>402.4608800865</v>
      </c>
      <c r="K97" s="20" t="n">
        <f aca="false">DEGREES(ATAN2(C97,I97))</f>
        <v>-0.996595447939416</v>
      </c>
      <c r="L97" s="20" t="n">
        <f aca="false">K97-(Supuestos!$C$21+Supuestos!$C$22)</f>
        <v>-4.99659544793942</v>
      </c>
      <c r="M97" s="7" t="n">
        <f aca="false">MIN(6*(2*H97/Supuestos!$C$20)^2,Supuestos!$C$24)</f>
        <v>4.12540678778838</v>
      </c>
      <c r="N97" s="21" t="n">
        <f aca="false">PI()*Supuestos!$C$23/Supuestos!$C$6*SIN(RADIANS(L97))</f>
        <v>-1.94278244417891</v>
      </c>
      <c r="O97" s="7" t="n">
        <f aca="false">IF(ABS(N97)&lt;0.000000001,0,MIN(-20*LOG10(MAX(ABS(SIN(N97)/N97),0.000001)),Supuestos!$C$25))</f>
        <v>6.38382577987287</v>
      </c>
      <c r="P97" s="7" t="n">
        <f aca="false">Supuestos!$C$19-M97-O97</f>
        <v>4.99076743233875</v>
      </c>
      <c r="Q97" s="7" t="n">
        <f aca="false">32.44+20*LOG10(J97/1000)+20*LOG10(Supuestos!$C$5*1000)</f>
        <v>99.8030333224423</v>
      </c>
      <c r="R97" s="7" t="n">
        <f aca="false">IF(E97&lt;=0,0,IF(E97&lt;=14,0.45*Supuestos!$C$5^0.284*E97,1.33*Supuestos!$C$5^0.284*MIN(E97,400)^0.588))</f>
        <v>9.63761151557163</v>
      </c>
      <c r="S97" s="7" t="n">
        <f aca="false">Q97+R97+Supuestos!$C$12+Supuestos!$C$13+Supuestos!$C$11-P97-Supuestos!$C$10</f>
        <v>83.2498774056751</v>
      </c>
      <c r="T97" s="7" t="n">
        <f aca="false">MCS!$E$5-S97-MCS!$G$5</f>
        <v>37.7501225943249</v>
      </c>
      <c r="U97" s="7" t="n">
        <f aca="false">T97-Supuestos!$C$15</f>
        <v>34.7501225943249</v>
      </c>
      <c r="V97" s="5" t="n">
        <f aca="false">SUMPRODUCT(--(MCS!$E$5:$E$14-$S97-MCS!$G$5:$G$14&gt;=Supuestos!$C$16))</f>
        <v>8</v>
      </c>
      <c r="W97" s="5" t="n">
        <f aca="false">SUMPRODUCT(--(MCS!$E$5:$E$14-Supuestos!$C$15-$S97-MCS!$G$5:$G$14&gt;=Supuestos!$C$16))</f>
        <v>8</v>
      </c>
      <c r="X97" s="6" t="str">
        <f aca="false">IF(V97=0,"ninguno",INDEX(MCS!$A$5:$A$14,V97))</f>
        <v>64QAM 5/6</v>
      </c>
      <c r="Y97" s="7" t="n">
        <f aca="false">IF(V97=0,0,INDEX(MCS!$F$5:$F$14,V97))</f>
        <v>144.444444444444</v>
      </c>
      <c r="Z97" s="7" t="n">
        <f aca="false">IF(W97=0,0,INDEX(MCS!$F$5:$F$14,W97))</f>
        <v>144.444444444444</v>
      </c>
      <c r="AA97" s="22" t="n">
        <f aca="false">IF(Y97&gt;0,Supuestos!$C$29*Supuestos!$C$30/(Supuestos!$C$17*Y97),0)</f>
        <v>0.00958579881656805</v>
      </c>
      <c r="AB97" s="22" t="n">
        <f aca="false">IF(Z97&gt;0,Supuestos!$C$29*Supuestos!$C$31/(Supuestos!$C$17*Z97),0)</f>
        <v>0.00119822485207101</v>
      </c>
    </row>
    <row r="98" customFormat="false" ht="15" hidden="false" customHeight="false" outlineLevel="0" collapsed="false">
      <c r="A98" s="13" t="n">
        <v>94</v>
      </c>
      <c r="B98" s="17" t="n">
        <v>90.7</v>
      </c>
      <c r="C98" s="18" t="n">
        <v>272.4</v>
      </c>
      <c r="D98" s="18" t="n">
        <v>211.6</v>
      </c>
      <c r="E98" s="19" t="n">
        <v>16</v>
      </c>
      <c r="F98" s="6" t="str">
        <f aca="false">IF(AND(B98&gt;=90,B98&lt;210),"S1",IF(AND(B98&gt;=210,B98&lt;330),"S2","S3"))</f>
        <v>S1</v>
      </c>
      <c r="G98" s="6" t="n">
        <f aca="false">IF(F98="S1",Supuestos!$C$26,IF(F98="S2",Supuestos!$C$27,Supuestos!$C$28))</f>
        <v>150</v>
      </c>
      <c r="H98" s="7" t="n">
        <f aca="false">MOD(B98-G98+180,360)-180</f>
        <v>-59.3</v>
      </c>
      <c r="I98" s="7" t="n">
        <f aca="false">Supuestos!$C$7-(D98-Supuestos!$C$8)-Supuestos!$C$9</f>
        <v>18.4</v>
      </c>
      <c r="J98" s="7" t="n">
        <f aca="false">SQRT(C98^2+I98^2)</f>
        <v>273.020731813538</v>
      </c>
      <c r="K98" s="20" t="n">
        <f aca="false">DEGREES(ATAN2(C98,I98))</f>
        <v>3.86432937901132</v>
      </c>
      <c r="L98" s="20" t="n">
        <f aca="false">K98-(Supuestos!$C$21+Supuestos!$C$22)</f>
        <v>-0.135670620988676</v>
      </c>
      <c r="M98" s="7" t="n">
        <f aca="false">MIN(6*(2*H98/Supuestos!$C$20)^2,Supuestos!$C$24)</f>
        <v>4.49655069529543</v>
      </c>
      <c r="N98" s="21" t="n">
        <f aca="false">PI()*Supuestos!$C$23/Supuestos!$C$6*SIN(RADIANS(L98))</f>
        <v>-0.0528184925472104</v>
      </c>
      <c r="O98" s="7" t="n">
        <f aca="false">IF(ABS(N98)&lt;0.000000001,0,MIN(-20*LOG10(MAX(ABS(SIN(N98)/N98),0.000001)),Supuestos!$C$25))</f>
        <v>0.0040390148749763</v>
      </c>
      <c r="P98" s="7" t="n">
        <f aca="false">Supuestos!$C$19-M98-O98</f>
        <v>10.9994102898296</v>
      </c>
      <c r="Q98" s="7" t="n">
        <f aca="false">32.44+20*LOG10(J98/1000)+20*LOG10(Supuestos!$C$5*1000)</f>
        <v>96.4324723996462</v>
      </c>
      <c r="R98" s="7" t="n">
        <f aca="false">IF(E98&lt;=0,0,IF(E98&lt;=14,0.45*Supuestos!$C$5^0.284*E98,1.33*Supuestos!$C$5^0.284*MIN(E98,400)^0.588))</f>
        <v>11.1863329349479</v>
      </c>
      <c r="S98" s="7" t="n">
        <f aca="false">Q98+R98+Supuestos!$C$12+Supuestos!$C$13+Supuestos!$C$11-P98-Supuestos!$C$10</f>
        <v>75.4193950447645</v>
      </c>
      <c r="T98" s="7" t="n">
        <f aca="false">MCS!$E$5-S98-MCS!$G$5</f>
        <v>45.5806049552355</v>
      </c>
      <c r="U98" s="7" t="n">
        <f aca="false">T98-Supuestos!$C$15</f>
        <v>42.5806049552355</v>
      </c>
      <c r="V98" s="5" t="n">
        <f aca="false">SUMPRODUCT(--(MCS!$E$5:$E$14-$S98-MCS!$G$5:$G$14&gt;=Supuestos!$C$16))</f>
        <v>9</v>
      </c>
      <c r="W98" s="5" t="n">
        <f aca="false">SUMPRODUCT(--(MCS!$E$5:$E$14-Supuestos!$C$15-$S98-MCS!$G$5:$G$14&gt;=Supuestos!$C$16))</f>
        <v>9</v>
      </c>
      <c r="X98" s="6" t="str">
        <f aca="false">IF(V98=0,"ninguno",INDEX(MCS!$A$5:$A$14,V98))</f>
        <v>256QAM 3/4</v>
      </c>
      <c r="Y98" s="7" t="n">
        <f aca="false">IF(V98=0,0,INDEX(MCS!$F$5:$F$14,V98))</f>
        <v>173.333333333333</v>
      </c>
      <c r="Z98" s="7" t="n">
        <f aca="false">IF(W98=0,0,INDEX(MCS!$F$5:$F$14,W98))</f>
        <v>173.333333333333</v>
      </c>
      <c r="AA98" s="22" t="n">
        <f aca="false">IF(Y98&gt;0,Supuestos!$C$29*Supuestos!$C$30/(Supuestos!$C$17*Y98),0)</f>
        <v>0.00798816568047337</v>
      </c>
      <c r="AB98" s="22" t="n">
        <f aca="false">IF(Z98&gt;0,Supuestos!$C$29*Supuestos!$C$31/(Supuestos!$C$17*Z98),0)</f>
        <v>0.000998520710059172</v>
      </c>
    </row>
    <row r="99" customFormat="false" ht="15" hidden="false" customHeight="false" outlineLevel="0" collapsed="false">
      <c r="A99" s="13" t="n">
        <v>95</v>
      </c>
      <c r="B99" s="17" t="n">
        <v>90.3</v>
      </c>
      <c r="C99" s="18" t="n">
        <v>323.7</v>
      </c>
      <c r="D99" s="18" t="n">
        <v>215.3</v>
      </c>
      <c r="E99" s="19" t="n">
        <v>27</v>
      </c>
      <c r="F99" s="6" t="str">
        <f aca="false">IF(AND(B99&gt;=90,B99&lt;210),"S1",IF(AND(B99&gt;=210,B99&lt;330),"S2","S3"))</f>
        <v>S1</v>
      </c>
      <c r="G99" s="6" t="n">
        <f aca="false">IF(F99="S1",Supuestos!$C$26,IF(F99="S2",Supuestos!$C$27,Supuestos!$C$28))</f>
        <v>150</v>
      </c>
      <c r="H99" s="7" t="n">
        <f aca="false">MOD(B99-G99+180,360)-180</f>
        <v>-59.7</v>
      </c>
      <c r="I99" s="7" t="n">
        <f aca="false">Supuestos!$C$7-(D99-Supuestos!$C$8)-Supuestos!$C$9</f>
        <v>14.7</v>
      </c>
      <c r="J99" s="7" t="n">
        <f aca="false">SQRT(C99^2+I99^2)</f>
        <v>324.033609367917</v>
      </c>
      <c r="K99" s="20" t="n">
        <f aca="false">DEGREES(ATAN2(C99,I99))</f>
        <v>2.60015350113018</v>
      </c>
      <c r="L99" s="20" t="n">
        <f aca="false">K99-(Supuestos!$C$21+Supuestos!$C$22)</f>
        <v>-1.39984649886982</v>
      </c>
      <c r="M99" s="7" t="n">
        <f aca="false">MIN(6*(2*H99/Supuestos!$C$20)^2,Supuestos!$C$24)</f>
        <v>4.55741701742235</v>
      </c>
      <c r="N99" s="21" t="n">
        <f aca="false">PI()*Supuestos!$C$23/Supuestos!$C$6*SIN(RADIANS(L99))</f>
        <v>-0.544926343095041</v>
      </c>
      <c r="O99" s="7" t="n">
        <f aca="false">IF(ABS(N99)&lt;0.000000001,0,MIN(-20*LOG10(MAX(ABS(SIN(N99)/N99),0.000001)),Supuestos!$C$25))</f>
        <v>0.434208497611545</v>
      </c>
      <c r="P99" s="7" t="n">
        <f aca="false">Supuestos!$C$19-M99-O99</f>
        <v>10.5083744849661</v>
      </c>
      <c r="Q99" s="7" t="n">
        <f aca="false">32.44+20*LOG10(J99/1000)+20*LOG10(Supuestos!$C$5*1000)</f>
        <v>97.9203610387255</v>
      </c>
      <c r="R99" s="7" t="n">
        <f aca="false">IF(E99&lt;=0,0,IF(E99&lt;=14,0.45*Supuestos!$C$5^0.284*E99,1.33*Supuestos!$C$5^0.284*MIN(E99,400)^0.588))</f>
        <v>15.2162307101806</v>
      </c>
      <c r="S99" s="7" t="n">
        <f aca="false">Q99+R99+Supuestos!$C$12+Supuestos!$C$13+Supuestos!$C$11-P99-Supuestos!$C$10</f>
        <v>81.42821726394</v>
      </c>
      <c r="T99" s="7" t="n">
        <f aca="false">MCS!$E$5-S99-MCS!$G$5</f>
        <v>39.57178273606</v>
      </c>
      <c r="U99" s="7" t="n">
        <f aca="false">T99-Supuestos!$C$15</f>
        <v>36.57178273606</v>
      </c>
      <c r="V99" s="5" t="n">
        <f aca="false">SUMPRODUCT(--(MCS!$E$5:$E$14-$S99-MCS!$G$5:$G$14&gt;=Supuestos!$C$16))</f>
        <v>8</v>
      </c>
      <c r="W99" s="5" t="n">
        <f aca="false">SUMPRODUCT(--(MCS!$E$5:$E$14-Supuestos!$C$15-$S99-MCS!$G$5:$G$14&gt;=Supuestos!$C$16))</f>
        <v>8</v>
      </c>
      <c r="X99" s="6" t="str">
        <f aca="false">IF(V99=0,"ninguno",INDEX(MCS!$A$5:$A$14,V99))</f>
        <v>64QAM 5/6</v>
      </c>
      <c r="Y99" s="7" t="n">
        <f aca="false">IF(V99=0,0,INDEX(MCS!$F$5:$F$14,V99))</f>
        <v>144.444444444444</v>
      </c>
      <c r="Z99" s="7" t="n">
        <f aca="false">IF(W99=0,0,INDEX(MCS!$F$5:$F$14,W99))</f>
        <v>144.444444444444</v>
      </c>
      <c r="AA99" s="22" t="n">
        <f aca="false">IF(Y99&gt;0,Supuestos!$C$29*Supuestos!$C$30/(Supuestos!$C$17*Y99),0)</f>
        <v>0.00958579881656805</v>
      </c>
      <c r="AB99" s="22" t="n">
        <f aca="false">IF(Z99&gt;0,Supuestos!$C$29*Supuestos!$C$31/(Supuestos!$C$17*Z99),0)</f>
        <v>0.00119822485207101</v>
      </c>
    </row>
    <row r="100" customFormat="false" ht="15" hidden="false" customHeight="false" outlineLevel="0" collapsed="false">
      <c r="A100" s="13" t="n">
        <v>96</v>
      </c>
      <c r="B100" s="17" t="n">
        <v>92.6</v>
      </c>
      <c r="C100" s="18" t="n">
        <v>347.1</v>
      </c>
      <c r="D100" s="18" t="n">
        <v>218.5</v>
      </c>
      <c r="E100" s="19" t="n">
        <v>49</v>
      </c>
      <c r="F100" s="6" t="str">
        <f aca="false">IF(AND(B100&gt;=90,B100&lt;210),"S1",IF(AND(B100&gt;=210,B100&lt;330),"S2","S3"))</f>
        <v>S1</v>
      </c>
      <c r="G100" s="6" t="n">
        <f aca="false">IF(F100="S1",Supuestos!$C$26,IF(F100="S2",Supuestos!$C$27,Supuestos!$C$28))</f>
        <v>150</v>
      </c>
      <c r="H100" s="7" t="n">
        <f aca="false">MOD(B100-G100+180,360)-180</f>
        <v>-57.4</v>
      </c>
      <c r="I100" s="7" t="n">
        <f aca="false">Supuestos!$C$7-(D100-Supuestos!$C$8)-Supuestos!$C$9</f>
        <v>11.5</v>
      </c>
      <c r="J100" s="7" t="n">
        <f aca="false">SQRT(C100^2+I100^2)</f>
        <v>347.290454806924</v>
      </c>
      <c r="K100" s="20" t="n">
        <f aca="false">DEGREES(ATAN2(C100,I100))</f>
        <v>1.89761028369906</v>
      </c>
      <c r="L100" s="20" t="n">
        <f aca="false">K100-(Supuestos!$C$21+Supuestos!$C$22)</f>
        <v>-2.10238971630094</v>
      </c>
      <c r="M100" s="7" t="n">
        <f aca="false">MIN(6*(2*H100/Supuestos!$C$20)^2,Supuestos!$C$24)</f>
        <v>4.21302360274922</v>
      </c>
      <c r="N100" s="21" t="n">
        <f aca="false">PI()*Supuestos!$C$23/Supuestos!$C$6*SIN(RADIANS(L100))</f>
        <v>-0.818307171154448</v>
      </c>
      <c r="O100" s="7" t="n">
        <f aca="false">IF(ABS(N100)&lt;0.000000001,0,MIN(-20*LOG10(MAX(ABS(SIN(N100)/N100),0.000001)),Supuestos!$C$25))</f>
        <v>0.991990127600507</v>
      </c>
      <c r="P100" s="7" t="n">
        <f aca="false">Supuestos!$C$19-M100-O100</f>
        <v>10.2949862696503</v>
      </c>
      <c r="Q100" s="7" t="n">
        <f aca="false">32.44+20*LOG10(J100/1000)+20*LOG10(Supuestos!$C$5*1000)</f>
        <v>98.5224168112057</v>
      </c>
      <c r="R100" s="7" t="n">
        <f aca="false">IF(E100&lt;=0,0,IF(E100&lt;=14,0.45*Supuestos!$C$5^0.284*E100,1.33*Supuestos!$C$5^0.284*MIN(E100,400)^0.588))</f>
        <v>21.6023245316881</v>
      </c>
      <c r="S100" s="7" t="n">
        <f aca="false">Q100+R100+Supuestos!$C$12+Supuestos!$C$13+Supuestos!$C$11-P100-Supuestos!$C$10</f>
        <v>88.6297550732435</v>
      </c>
      <c r="T100" s="7" t="n">
        <f aca="false">MCS!$E$5-S100-MCS!$G$5</f>
        <v>32.3702449267565</v>
      </c>
      <c r="U100" s="7" t="n">
        <f aca="false">T100-Supuestos!$C$15</f>
        <v>29.3702449267565</v>
      </c>
      <c r="V100" s="5" t="n">
        <f aca="false">SUMPRODUCT(--(MCS!$E$5:$E$14-$S100-MCS!$G$5:$G$14&gt;=Supuestos!$C$16))</f>
        <v>7</v>
      </c>
      <c r="W100" s="5" t="n">
        <f aca="false">SUMPRODUCT(--(MCS!$E$5:$E$14-Supuestos!$C$15-$S100-MCS!$G$5:$G$14&gt;=Supuestos!$C$16))</f>
        <v>6</v>
      </c>
      <c r="X100" s="6" t="str">
        <f aca="false">IF(V100=0,"ninguno",INDEX(MCS!$A$5:$A$14,V100))</f>
        <v>64QAM 3/4</v>
      </c>
      <c r="Y100" s="7" t="n">
        <f aca="false">IF(V100=0,0,INDEX(MCS!$F$5:$F$14,V100))</f>
        <v>130</v>
      </c>
      <c r="Z100" s="7" t="n">
        <f aca="false">IF(W100=0,0,INDEX(MCS!$F$5:$F$14,W100))</f>
        <v>115.555555555556</v>
      </c>
      <c r="AA100" s="22" t="n">
        <f aca="false">IF(Y100&gt;0,Supuestos!$C$29*Supuestos!$C$30/(Supuestos!$C$17*Y100),0)</f>
        <v>0.0106508875739645</v>
      </c>
      <c r="AB100" s="22" t="n">
        <f aca="false">IF(Z100&gt;0,Supuestos!$C$29*Supuestos!$C$31/(Supuestos!$C$17*Z100),0)</f>
        <v>0.00149778106508876</v>
      </c>
    </row>
    <row r="101" customFormat="false" ht="15" hidden="false" customHeight="false" outlineLevel="0" collapsed="false">
      <c r="A101" s="13" t="n">
        <v>97</v>
      </c>
      <c r="B101" s="17" t="n">
        <v>97.8</v>
      </c>
      <c r="C101" s="18" t="n">
        <v>269.1</v>
      </c>
      <c r="D101" s="18" t="n">
        <v>211.7</v>
      </c>
      <c r="E101" s="19" t="n">
        <v>92</v>
      </c>
      <c r="F101" s="6" t="str">
        <f aca="false">IF(AND(B101&gt;=90,B101&lt;210),"S1",IF(AND(B101&gt;=210,B101&lt;330),"S2","S3"))</f>
        <v>S1</v>
      </c>
      <c r="G101" s="6" t="n">
        <f aca="false">IF(F101="S1",Supuestos!$C$26,IF(F101="S2",Supuestos!$C$27,Supuestos!$C$28))</f>
        <v>150</v>
      </c>
      <c r="H101" s="7" t="n">
        <f aca="false">MOD(B101-G101+180,360)-180</f>
        <v>-52.2</v>
      </c>
      <c r="I101" s="7" t="n">
        <f aca="false">Supuestos!$C$7-(D101-Supuestos!$C$8)-Supuestos!$C$9</f>
        <v>18.3</v>
      </c>
      <c r="J101" s="7" t="n">
        <f aca="false">SQRT(C101^2+I101^2)</f>
        <v>269.721523056652</v>
      </c>
      <c r="K101" s="20" t="n">
        <f aca="false">DEGREES(ATAN2(C101,I101))</f>
        <v>3.89037872756701</v>
      </c>
      <c r="L101" s="20" t="n">
        <f aca="false">K101-(Supuestos!$C$21+Supuestos!$C$22)</f>
        <v>-0.109621272432991</v>
      </c>
      <c r="M101" s="7" t="n">
        <f aca="false">MIN(6*(2*H101/Supuestos!$C$20)^2,Supuestos!$C$24)</f>
        <v>3.48426447866162</v>
      </c>
      <c r="N101" s="21" t="n">
        <f aca="false">PI()*Supuestos!$C$23/Supuestos!$C$6*SIN(RADIANS(L101))</f>
        <v>-0.0426771263897977</v>
      </c>
      <c r="O101" s="7" t="n">
        <f aca="false">IF(ABS(N101)&lt;0.000000001,0,MIN(-20*LOG10(MAX(ABS(SIN(N101)/N101),0.000001)),Supuestos!$C$25))</f>
        <v>0.00263681562497028</v>
      </c>
      <c r="P101" s="7" t="n">
        <f aca="false">Supuestos!$C$19-M101-O101</f>
        <v>12.0130987057134</v>
      </c>
      <c r="Q101" s="7" t="n">
        <f aca="false">32.44+20*LOG10(J101/1000)+20*LOG10(Supuestos!$C$5*1000)</f>
        <v>96.3268719387505</v>
      </c>
      <c r="R101" s="7" t="n">
        <f aca="false">IF(E101&lt;=0,0,IF(E101&lt;=14,0.45*Supuestos!$C$5^0.284*E101,1.33*Supuestos!$C$5^0.284*MIN(E101,400)^0.588))</f>
        <v>31.2876131785271</v>
      </c>
      <c r="S101" s="7" t="n">
        <f aca="false">Q101+R101+Supuestos!$C$12+Supuestos!$C$13+Supuestos!$C$11-P101-Supuestos!$C$10</f>
        <v>94.4013864115642</v>
      </c>
      <c r="T101" s="7" t="n">
        <f aca="false">MCS!$E$5-S101-MCS!$G$5</f>
        <v>26.5986135884358</v>
      </c>
      <c r="U101" s="7" t="n">
        <f aca="false">T101-Supuestos!$C$15</f>
        <v>23.5986135884358</v>
      </c>
      <c r="V101" s="5" t="n">
        <f aca="false">SUMPRODUCT(--(MCS!$E$5:$E$14-$S101-MCS!$G$5:$G$14&gt;=Supuestos!$C$16))</f>
        <v>6</v>
      </c>
      <c r="W101" s="5" t="n">
        <f aca="false">SUMPRODUCT(--(MCS!$E$5:$E$14-Supuestos!$C$15-$S101-MCS!$G$5:$G$14&gt;=Supuestos!$C$16))</f>
        <v>6</v>
      </c>
      <c r="X101" s="6" t="str">
        <f aca="false">IF(V101=0,"ninguno",INDEX(MCS!$A$5:$A$14,V101))</f>
        <v>64QAM 2/3</v>
      </c>
      <c r="Y101" s="7" t="n">
        <f aca="false">IF(V101=0,0,INDEX(MCS!$F$5:$F$14,V101))</f>
        <v>115.555555555556</v>
      </c>
      <c r="Z101" s="7" t="n">
        <f aca="false">IF(W101=0,0,INDEX(MCS!$F$5:$F$14,W101))</f>
        <v>115.555555555556</v>
      </c>
      <c r="AA101" s="22" t="n">
        <f aca="false">IF(Y101&gt;0,Supuestos!$C$29*Supuestos!$C$30/(Supuestos!$C$17*Y101),0)</f>
        <v>0.0119822485207101</v>
      </c>
      <c r="AB101" s="22" t="n">
        <f aca="false">IF(Z101&gt;0,Supuestos!$C$29*Supuestos!$C$31/(Supuestos!$C$17*Z101),0)</f>
        <v>0.00149778106508876</v>
      </c>
    </row>
    <row r="102" customFormat="false" ht="15" hidden="false" customHeight="false" outlineLevel="0" collapsed="false">
      <c r="A102" s="13" t="n">
        <v>98</v>
      </c>
      <c r="B102" s="17" t="n">
        <v>102.1</v>
      </c>
      <c r="C102" s="18" t="n">
        <v>273.9</v>
      </c>
      <c r="D102" s="18" t="n">
        <v>212.8</v>
      </c>
      <c r="E102" s="19" t="n">
        <v>34</v>
      </c>
      <c r="F102" s="6" t="str">
        <f aca="false">IF(AND(B102&gt;=90,B102&lt;210),"S1",IF(AND(B102&gt;=210,B102&lt;330),"S2","S3"))</f>
        <v>S1</v>
      </c>
      <c r="G102" s="6" t="n">
        <f aca="false">IF(F102="S1",Supuestos!$C$26,IF(F102="S2",Supuestos!$C$27,Supuestos!$C$28))</f>
        <v>150</v>
      </c>
      <c r="H102" s="7" t="n">
        <f aca="false">MOD(B102-G102+180,360)-180</f>
        <v>-47.9</v>
      </c>
      <c r="I102" s="7" t="n">
        <f aca="false">Supuestos!$C$7-(D102-Supuestos!$C$8)-Supuestos!$C$9</f>
        <v>17.2</v>
      </c>
      <c r="J102" s="7" t="n">
        <f aca="false">SQRT(C102^2+I102^2)</f>
        <v>274.439519748887</v>
      </c>
      <c r="K102" s="20" t="n">
        <f aca="false">DEGREES(ATAN2(C102,I102))</f>
        <v>3.59326421207328</v>
      </c>
      <c r="L102" s="20" t="n">
        <f aca="false">K102-(Supuestos!$C$21+Supuestos!$C$22)</f>
        <v>-0.406735787926717</v>
      </c>
      <c r="M102" s="7" t="n">
        <f aca="false">MIN(6*(2*H102/Supuestos!$C$20)^2,Supuestos!$C$24)</f>
        <v>2.9338718098993</v>
      </c>
      <c r="N102" s="21" t="n">
        <f aca="false">PI()*Supuestos!$C$23/Supuestos!$C$6*SIN(RADIANS(L102))</f>
        <v>-0.158346815732323</v>
      </c>
      <c r="O102" s="7" t="n">
        <f aca="false">IF(ABS(N102)&lt;0.000000001,0,MIN(-20*LOG10(MAX(ABS(SIN(N102)/N102),0.000001)),Supuestos!$C$25))</f>
        <v>0.036328304688444</v>
      </c>
      <c r="P102" s="7" t="n">
        <f aca="false">Supuestos!$C$19-M102-O102</f>
        <v>12.5297998854123</v>
      </c>
      <c r="Q102" s="7" t="n">
        <f aca="false">32.44+20*LOG10(J102/1000)+20*LOG10(Supuestos!$C$5*1000)</f>
        <v>96.4774928846238</v>
      </c>
      <c r="R102" s="7" t="n">
        <f aca="false">IF(E102&lt;=0,0,IF(E102&lt;=14,0.45*Supuestos!$C$5^0.284*E102,1.33*Supuestos!$C$5^0.284*MIN(E102,400)^0.588))</f>
        <v>17.4250805497971</v>
      </c>
      <c r="S102" s="7" t="n">
        <f aca="false">Q102+R102+Supuestos!$C$12+Supuestos!$C$13+Supuestos!$C$11-P102-Supuestos!$C$10</f>
        <v>80.1727735490087</v>
      </c>
      <c r="T102" s="7" t="n">
        <f aca="false">MCS!$E$5-S102-MCS!$G$5</f>
        <v>40.8272264509913</v>
      </c>
      <c r="U102" s="7" t="n">
        <f aca="false">T102-Supuestos!$C$15</f>
        <v>37.8272264509913</v>
      </c>
      <c r="V102" s="5" t="n">
        <f aca="false">SUMPRODUCT(--(MCS!$E$5:$E$14-$S102-MCS!$G$5:$G$14&gt;=Supuestos!$C$16))</f>
        <v>8</v>
      </c>
      <c r="W102" s="5" t="n">
        <f aca="false">SUMPRODUCT(--(MCS!$E$5:$E$14-Supuestos!$C$15-$S102-MCS!$G$5:$G$14&gt;=Supuestos!$C$16))</f>
        <v>8</v>
      </c>
      <c r="X102" s="6" t="str">
        <f aca="false">IF(V102=0,"ninguno",INDEX(MCS!$A$5:$A$14,V102))</f>
        <v>64QAM 5/6</v>
      </c>
      <c r="Y102" s="7" t="n">
        <f aca="false">IF(V102=0,0,INDEX(MCS!$F$5:$F$14,V102))</f>
        <v>144.444444444444</v>
      </c>
      <c r="Z102" s="7" t="n">
        <f aca="false">IF(W102=0,0,INDEX(MCS!$F$5:$F$14,W102))</f>
        <v>144.444444444444</v>
      </c>
      <c r="AA102" s="22" t="n">
        <f aca="false">IF(Y102&gt;0,Supuestos!$C$29*Supuestos!$C$30/(Supuestos!$C$17*Y102),0)</f>
        <v>0.00958579881656805</v>
      </c>
      <c r="AB102" s="22" t="n">
        <f aca="false">IF(Z102&gt;0,Supuestos!$C$29*Supuestos!$C$31/(Supuestos!$C$17*Z102),0)</f>
        <v>0.00119822485207101</v>
      </c>
    </row>
    <row r="103" customFormat="false" ht="15" hidden="false" customHeight="false" outlineLevel="0" collapsed="false">
      <c r="A103" s="13" t="n">
        <v>99</v>
      </c>
      <c r="B103" s="17" t="n">
        <v>102.3</v>
      </c>
      <c r="C103" s="18" t="n">
        <v>246.1</v>
      </c>
      <c r="D103" s="18" t="n">
        <v>212.5</v>
      </c>
      <c r="E103" s="19" t="n">
        <v>31</v>
      </c>
      <c r="F103" s="6" t="str">
        <f aca="false">IF(AND(B103&gt;=90,B103&lt;210),"S1",IF(AND(B103&gt;=210,B103&lt;330),"S2","S3"))</f>
        <v>S1</v>
      </c>
      <c r="G103" s="6" t="n">
        <f aca="false">IF(F103="S1",Supuestos!$C$26,IF(F103="S2",Supuestos!$C$27,Supuestos!$C$28))</f>
        <v>150</v>
      </c>
      <c r="H103" s="7" t="n">
        <f aca="false">MOD(B103-G103+180,360)-180</f>
        <v>-47.7</v>
      </c>
      <c r="I103" s="7" t="n">
        <f aca="false">Supuestos!$C$7-(D103-Supuestos!$C$8)-Supuestos!$C$9</f>
        <v>17.5</v>
      </c>
      <c r="J103" s="7" t="n">
        <f aca="false">SQRT(C103^2+I103^2)</f>
        <v>246.721421850637</v>
      </c>
      <c r="K103" s="20" t="n">
        <f aca="false">DEGREES(ATAN2(C103,I103))</f>
        <v>4.06741661382957</v>
      </c>
      <c r="L103" s="20" t="n">
        <f aca="false">K103-(Supuestos!$C$21+Supuestos!$C$22)</f>
        <v>0.0674166138295744</v>
      </c>
      <c r="M103" s="7" t="n">
        <f aca="false">MIN(6*(2*H103/Supuestos!$C$20)^2,Supuestos!$C$24)</f>
        <v>2.90942298470883</v>
      </c>
      <c r="N103" s="21" t="n">
        <f aca="false">PI()*Supuestos!$C$23/Supuestos!$C$6*SIN(RADIANS(L103))</f>
        <v>0.0262462602079062</v>
      </c>
      <c r="O103" s="7" t="n">
        <f aca="false">IF(ABS(N103)&lt;0.000000001,0,MIN(-20*LOG10(MAX(ABS(SIN(N103)/N103),0.000001)),Supuestos!$C$25))</f>
        <v>0.00099725882816939</v>
      </c>
      <c r="P103" s="7" t="n">
        <f aca="false">Supuestos!$C$19-M103-O103</f>
        <v>12.589579756463</v>
      </c>
      <c r="Q103" s="7" t="n">
        <f aca="false">32.44+20*LOG10(J103/1000)+20*LOG10(Supuestos!$C$5*1000)</f>
        <v>95.5526970554291</v>
      </c>
      <c r="R103" s="7" t="n">
        <f aca="false">IF(E103&lt;=0,0,IF(E103&lt;=14,0.45*Supuestos!$C$5^0.284*E103,1.33*Supuestos!$C$5^0.284*MIN(E103,400)^0.588))</f>
        <v>16.5038727758886</v>
      </c>
      <c r="S103" s="7" t="n">
        <f aca="false">Q103+R103+Supuestos!$C$12+Supuestos!$C$13+Supuestos!$C$11-P103-Supuestos!$C$10</f>
        <v>78.2669900748547</v>
      </c>
      <c r="T103" s="7" t="n">
        <f aca="false">MCS!$E$5-S103-MCS!$G$5</f>
        <v>42.7330099251453</v>
      </c>
      <c r="U103" s="7" t="n">
        <f aca="false">T103-Supuestos!$C$15</f>
        <v>39.7330099251453</v>
      </c>
      <c r="V103" s="5" t="n">
        <f aca="false">SUMPRODUCT(--(MCS!$E$5:$E$14-$S103-MCS!$G$5:$G$14&gt;=Supuestos!$C$16))</f>
        <v>9</v>
      </c>
      <c r="W103" s="5" t="n">
        <f aca="false">SUMPRODUCT(--(MCS!$E$5:$E$14-Supuestos!$C$15-$S103-MCS!$G$5:$G$14&gt;=Supuestos!$C$16))</f>
        <v>8</v>
      </c>
      <c r="X103" s="6" t="str">
        <f aca="false">IF(V103=0,"ninguno",INDEX(MCS!$A$5:$A$14,V103))</f>
        <v>256QAM 3/4</v>
      </c>
      <c r="Y103" s="7" t="n">
        <f aca="false">IF(V103=0,0,INDEX(MCS!$F$5:$F$14,V103))</f>
        <v>173.333333333333</v>
      </c>
      <c r="Z103" s="7" t="n">
        <f aca="false">IF(W103=0,0,INDEX(MCS!$F$5:$F$14,W103))</f>
        <v>144.444444444444</v>
      </c>
      <c r="AA103" s="22" t="n">
        <f aca="false">IF(Y103&gt;0,Supuestos!$C$29*Supuestos!$C$30/(Supuestos!$C$17*Y103),0)</f>
        <v>0.00798816568047337</v>
      </c>
      <c r="AB103" s="22" t="n">
        <f aca="false">IF(Z103&gt;0,Supuestos!$C$29*Supuestos!$C$31/(Supuestos!$C$17*Z103),0)</f>
        <v>0.00119822485207101</v>
      </c>
    </row>
    <row r="104" customFormat="false" ht="15" hidden="false" customHeight="false" outlineLevel="0" collapsed="false">
      <c r="A104" s="13" t="n">
        <v>100</v>
      </c>
      <c r="B104" s="17" t="n">
        <v>102.6</v>
      </c>
      <c r="C104" s="18" t="n">
        <v>227</v>
      </c>
      <c r="D104" s="18" t="n">
        <v>212.5</v>
      </c>
      <c r="E104" s="19" t="n">
        <v>27</v>
      </c>
      <c r="F104" s="6" t="str">
        <f aca="false">IF(AND(B104&gt;=90,B104&lt;210),"S1",IF(AND(B104&gt;=210,B104&lt;330),"S2","S3"))</f>
        <v>S1</v>
      </c>
      <c r="G104" s="6" t="n">
        <f aca="false">IF(F104="S1",Supuestos!$C$26,IF(F104="S2",Supuestos!$C$27,Supuestos!$C$28))</f>
        <v>150</v>
      </c>
      <c r="H104" s="7" t="n">
        <f aca="false">MOD(B104-G104+180,360)-180</f>
        <v>-47.4</v>
      </c>
      <c r="I104" s="7" t="n">
        <f aca="false">Supuestos!$C$7-(D104-Supuestos!$C$8)-Supuestos!$C$9</f>
        <v>17.5</v>
      </c>
      <c r="J104" s="7" t="n">
        <f aca="false">SQRT(C104^2+I104^2)</f>
        <v>227.67356016894</v>
      </c>
      <c r="K104" s="20" t="n">
        <f aca="false">DEGREES(ATAN2(C104,I104))</f>
        <v>4.40835598308569</v>
      </c>
      <c r="L104" s="20" t="n">
        <f aca="false">K104-(Supuestos!$C$21+Supuestos!$C$22)</f>
        <v>0.408355983085687</v>
      </c>
      <c r="M104" s="7" t="n">
        <f aca="false">MIN(6*(2*H104/Supuestos!$C$20)^2,Supuestos!$C$24)</f>
        <v>2.87294155256007</v>
      </c>
      <c r="N104" s="21" t="n">
        <f aca="false">PI()*Supuestos!$C$23/Supuestos!$C$6*SIN(RADIANS(L104))</f>
        <v>0.158977565266847</v>
      </c>
      <c r="O104" s="7" t="n">
        <f aca="false">IF(ABS(N104)&lt;0.000000001,0,MIN(-20*LOG10(MAX(ABS(SIN(N104)/N104),0.000001)),Supuestos!$C$25))</f>
        <v>0.0366185421257292</v>
      </c>
      <c r="P104" s="7" t="n">
        <f aca="false">Supuestos!$C$19-M104-O104</f>
        <v>12.5904399053142</v>
      </c>
      <c r="Q104" s="7" t="n">
        <f aca="false">32.44+20*LOG10(J104/1000)+20*LOG10(Supuestos!$C$5*1000)</f>
        <v>94.8548118459288</v>
      </c>
      <c r="R104" s="7" t="n">
        <f aca="false">IF(E104&lt;=0,0,IF(E104&lt;=14,0.45*Supuestos!$C$5^0.284*E104,1.33*Supuestos!$C$5^0.284*MIN(E104,400)^0.588))</f>
        <v>15.2162307101806</v>
      </c>
      <c r="S104" s="7" t="n">
        <f aca="false">Q104+R104+Supuestos!$C$12+Supuestos!$C$13+Supuestos!$C$11-P104-Supuestos!$C$10</f>
        <v>76.2806026507951</v>
      </c>
      <c r="T104" s="7" t="n">
        <f aca="false">MCS!$E$5-S104-MCS!$G$5</f>
        <v>44.7193973492049</v>
      </c>
      <c r="U104" s="7" t="n">
        <f aca="false">T104-Supuestos!$C$15</f>
        <v>41.7193973492049</v>
      </c>
      <c r="V104" s="5" t="n">
        <f aca="false">SUMPRODUCT(--(MCS!$E$5:$E$14-$S104-MCS!$G$5:$G$14&gt;=Supuestos!$C$16))</f>
        <v>9</v>
      </c>
      <c r="W104" s="5" t="n">
        <f aca="false">SUMPRODUCT(--(MCS!$E$5:$E$14-Supuestos!$C$15-$S104-MCS!$G$5:$G$14&gt;=Supuestos!$C$16))</f>
        <v>9</v>
      </c>
      <c r="X104" s="6" t="str">
        <f aca="false">IF(V104=0,"ninguno",INDEX(MCS!$A$5:$A$14,V104))</f>
        <v>256QAM 3/4</v>
      </c>
      <c r="Y104" s="7" t="n">
        <f aca="false">IF(V104=0,0,INDEX(MCS!$F$5:$F$14,V104))</f>
        <v>173.333333333333</v>
      </c>
      <c r="Z104" s="7" t="n">
        <f aca="false">IF(W104=0,0,INDEX(MCS!$F$5:$F$14,W104))</f>
        <v>173.333333333333</v>
      </c>
      <c r="AA104" s="22" t="n">
        <f aca="false">IF(Y104&gt;0,Supuestos!$C$29*Supuestos!$C$30/(Supuestos!$C$17*Y104),0)</f>
        <v>0.00798816568047337</v>
      </c>
      <c r="AB104" s="22" t="n">
        <f aca="false">IF(Z104&gt;0,Supuestos!$C$29*Supuestos!$C$31/(Supuestos!$C$17*Z104),0)</f>
        <v>0.000998520710059172</v>
      </c>
    </row>
    <row r="105" customFormat="false" ht="15" hidden="false" customHeight="false" outlineLevel="0" collapsed="false">
      <c r="A105" s="13" t="n">
        <v>101</v>
      </c>
      <c r="B105" s="17" t="n">
        <v>109.6</v>
      </c>
      <c r="C105" s="18" t="n">
        <v>237.6</v>
      </c>
      <c r="D105" s="18" t="n">
        <v>214</v>
      </c>
      <c r="E105" s="19" t="n">
        <v>27</v>
      </c>
      <c r="F105" s="6" t="str">
        <f aca="false">IF(AND(B105&gt;=90,B105&lt;210),"S1",IF(AND(B105&gt;=210,B105&lt;330),"S2","S3"))</f>
        <v>S1</v>
      </c>
      <c r="G105" s="6" t="n">
        <f aca="false">IF(F105="S1",Supuestos!$C$26,IF(F105="S2",Supuestos!$C$27,Supuestos!$C$28))</f>
        <v>150</v>
      </c>
      <c r="H105" s="7" t="n">
        <f aca="false">MOD(B105-G105+180,360)-180</f>
        <v>-40.4</v>
      </c>
      <c r="I105" s="7" t="n">
        <f aca="false">Supuestos!$C$7-(D105-Supuestos!$C$8)-Supuestos!$C$9</f>
        <v>16</v>
      </c>
      <c r="J105" s="7" t="n">
        <f aca="false">SQRT(C105^2+I105^2)</f>
        <v>238.138111187605</v>
      </c>
      <c r="K105" s="20" t="n">
        <f aca="false">DEGREES(ATAN2(C105,I105))</f>
        <v>3.85248540698067</v>
      </c>
      <c r="L105" s="20" t="n">
        <f aca="false">K105-(Supuestos!$C$21+Supuestos!$C$22)</f>
        <v>-0.147514593019334</v>
      </c>
      <c r="M105" s="7" t="n">
        <f aca="false">MIN(6*(2*H105/Supuestos!$C$20)^2,Supuestos!$C$24)</f>
        <v>2.08704992274495</v>
      </c>
      <c r="N105" s="21" t="n">
        <f aca="false">PI()*Supuestos!$C$23/Supuestos!$C$6*SIN(RADIANS(L105))</f>
        <v>-0.0574295086766517</v>
      </c>
      <c r="O105" s="7" t="n">
        <f aca="false">IF(ABS(N105)&lt;0.000000001,0,MIN(-20*LOG10(MAX(ABS(SIN(N105)/N105),0.000001)),Supuestos!$C$25))</f>
        <v>0.00477508394890989</v>
      </c>
      <c r="P105" s="7" t="n">
        <f aca="false">Supuestos!$C$19-M105-O105</f>
        <v>13.4081749933061</v>
      </c>
      <c r="Q105" s="7" t="n">
        <f aca="false">32.44+20*LOG10(J105/1000)+20*LOG10(Supuestos!$C$5*1000)</f>
        <v>95.2451379644862</v>
      </c>
      <c r="R105" s="7" t="n">
        <f aca="false">IF(E105&lt;=0,0,IF(E105&lt;=14,0.45*Supuestos!$C$5^0.284*E105,1.33*Supuestos!$C$5^0.284*MIN(E105,400)^0.588))</f>
        <v>15.2162307101806</v>
      </c>
      <c r="S105" s="7" t="n">
        <f aca="false">Q105+R105+Supuestos!$C$12+Supuestos!$C$13+Supuestos!$C$11-P105-Supuestos!$C$10</f>
        <v>75.8531936813606</v>
      </c>
      <c r="T105" s="7" t="n">
        <f aca="false">MCS!$E$5-S105-MCS!$G$5</f>
        <v>45.1468063186394</v>
      </c>
      <c r="U105" s="7" t="n">
        <f aca="false">T105-Supuestos!$C$15</f>
        <v>42.1468063186394</v>
      </c>
      <c r="V105" s="5" t="n">
        <f aca="false">SUMPRODUCT(--(MCS!$E$5:$E$14-$S105-MCS!$G$5:$G$14&gt;=Supuestos!$C$16))</f>
        <v>9</v>
      </c>
      <c r="W105" s="5" t="n">
        <f aca="false">SUMPRODUCT(--(MCS!$E$5:$E$14-Supuestos!$C$15-$S105-MCS!$G$5:$G$14&gt;=Supuestos!$C$16))</f>
        <v>9</v>
      </c>
      <c r="X105" s="6" t="str">
        <f aca="false">IF(V105=0,"ninguno",INDEX(MCS!$A$5:$A$14,V105))</f>
        <v>256QAM 3/4</v>
      </c>
      <c r="Y105" s="7" t="n">
        <f aca="false">IF(V105=0,0,INDEX(MCS!$F$5:$F$14,V105))</f>
        <v>173.333333333333</v>
      </c>
      <c r="Z105" s="7" t="n">
        <f aca="false">IF(W105=0,0,INDEX(MCS!$F$5:$F$14,W105))</f>
        <v>173.333333333333</v>
      </c>
      <c r="AA105" s="22" t="n">
        <f aca="false">IF(Y105&gt;0,Supuestos!$C$29*Supuestos!$C$30/(Supuestos!$C$17*Y105),0)</f>
        <v>0.00798816568047337</v>
      </c>
      <c r="AB105" s="22" t="n">
        <f aca="false">IF(Z105&gt;0,Supuestos!$C$29*Supuestos!$C$31/(Supuestos!$C$17*Z105),0)</f>
        <v>0.000998520710059172</v>
      </c>
    </row>
    <row r="106" customFormat="false" ht="15" hidden="false" customHeight="false" outlineLevel="0" collapsed="false">
      <c r="A106" s="13" t="n">
        <v>102</v>
      </c>
      <c r="B106" s="17" t="n">
        <v>111.4</v>
      </c>
      <c r="C106" s="18" t="n">
        <v>222</v>
      </c>
      <c r="D106" s="18" t="n">
        <v>213.7</v>
      </c>
      <c r="E106" s="19" t="n">
        <v>18</v>
      </c>
      <c r="F106" s="6" t="str">
        <f aca="false">IF(AND(B106&gt;=90,B106&lt;210),"S1",IF(AND(B106&gt;=210,B106&lt;330),"S2","S3"))</f>
        <v>S1</v>
      </c>
      <c r="G106" s="6" t="n">
        <f aca="false">IF(F106="S1",Supuestos!$C$26,IF(F106="S2",Supuestos!$C$27,Supuestos!$C$28))</f>
        <v>150</v>
      </c>
      <c r="H106" s="7" t="n">
        <f aca="false">MOD(B106-G106+180,360)-180</f>
        <v>-38.6</v>
      </c>
      <c r="I106" s="7" t="n">
        <f aca="false">Supuestos!$C$7-(D106-Supuestos!$C$8)-Supuestos!$C$9</f>
        <v>16.3</v>
      </c>
      <c r="J106" s="7" t="n">
        <f aca="false">SQRT(C106^2+I106^2)</f>
        <v>222.597596572829</v>
      </c>
      <c r="K106" s="20" t="n">
        <f aca="false">DEGREES(ATAN2(C106,I106))</f>
        <v>4.19931692614401</v>
      </c>
      <c r="L106" s="20" t="n">
        <f aca="false">K106-(Supuestos!$C$21+Supuestos!$C$22)</f>
        <v>0.199316926144014</v>
      </c>
      <c r="M106" s="7" t="n">
        <f aca="false">MIN(6*(2*H106/Supuestos!$C$20)^2,Supuestos!$C$24)</f>
        <v>1.90521817891204</v>
      </c>
      <c r="N106" s="21" t="n">
        <f aca="false">PI()*Supuestos!$C$23/Supuestos!$C$6*SIN(RADIANS(L106))</f>
        <v>0.0775968157718721</v>
      </c>
      <c r="O106" s="7" t="n">
        <f aca="false">IF(ABS(N106)&lt;0.000000001,0,MIN(-20*LOG10(MAX(ABS(SIN(N106)/N106),0.000001)),Supuestos!$C$25))</f>
        <v>0.00871842524573798</v>
      </c>
      <c r="P106" s="7" t="n">
        <f aca="false">Supuestos!$C$19-M106-O106</f>
        <v>13.5860633958422</v>
      </c>
      <c r="Q106" s="7" t="n">
        <f aca="false">32.44+20*LOG10(J106/1000)+20*LOG10(Supuestos!$C$5*1000)</f>
        <v>94.6589692885917</v>
      </c>
      <c r="R106" s="7" t="n">
        <f aca="false">IF(E106&lt;=0,0,IF(E106&lt;=14,0.45*Supuestos!$C$5^0.284*E106,1.33*Supuestos!$C$5^0.284*MIN(E106,400)^0.588))</f>
        <v>11.9885159147658</v>
      </c>
      <c r="S106" s="7" t="n">
        <f aca="false">Q106+R106+Supuestos!$C$12+Supuestos!$C$13+Supuestos!$C$11-P106-Supuestos!$C$10</f>
        <v>71.8614218075152</v>
      </c>
      <c r="T106" s="7" t="n">
        <f aca="false">MCS!$E$5-S106-MCS!$G$5</f>
        <v>49.1385781924848</v>
      </c>
      <c r="U106" s="7" t="n">
        <f aca="false">T106-Supuestos!$C$15</f>
        <v>46.1385781924848</v>
      </c>
      <c r="V106" s="5" t="n">
        <f aca="false">SUMPRODUCT(--(MCS!$E$5:$E$14-$S106-MCS!$G$5:$G$14&gt;=Supuestos!$C$16))</f>
        <v>10</v>
      </c>
      <c r="W106" s="5" t="n">
        <f aca="false">SUMPRODUCT(--(MCS!$E$5:$E$14-Supuestos!$C$15-$S106-MCS!$G$5:$G$14&gt;=Supuestos!$C$16))</f>
        <v>9</v>
      </c>
      <c r="X106" s="6" t="str">
        <f aca="false">IF(V106=0,"ninguno",INDEX(MCS!$A$5:$A$14,V106))</f>
        <v>256QAM 5/6</v>
      </c>
      <c r="Y106" s="7" t="n">
        <f aca="false">IF(V106=0,0,INDEX(MCS!$F$5:$F$14,V106))</f>
        <v>192.592592592593</v>
      </c>
      <c r="Z106" s="7" t="n">
        <f aca="false">IF(W106=0,0,INDEX(MCS!$F$5:$F$14,W106))</f>
        <v>173.333333333333</v>
      </c>
      <c r="AA106" s="22" t="n">
        <f aca="false">IF(Y106&gt;0,Supuestos!$C$29*Supuestos!$C$30/(Supuestos!$C$17*Y106),0)</f>
        <v>0.00718934911242604</v>
      </c>
      <c r="AB106" s="22" t="n">
        <f aca="false">IF(Z106&gt;0,Supuestos!$C$29*Supuestos!$C$31/(Supuestos!$C$17*Z106),0)</f>
        <v>0.000998520710059172</v>
      </c>
    </row>
    <row r="107" customFormat="false" ht="15" hidden="false" customHeight="false" outlineLevel="0" collapsed="false">
      <c r="A107" s="13" t="n">
        <v>103</v>
      </c>
      <c r="B107" s="17" t="n">
        <v>118.2</v>
      </c>
      <c r="C107" s="18" t="n">
        <v>266.6</v>
      </c>
      <c r="D107" s="18" t="n">
        <v>219.5</v>
      </c>
      <c r="E107" s="19" t="n">
        <v>60</v>
      </c>
      <c r="F107" s="6" t="str">
        <f aca="false">IF(AND(B107&gt;=90,B107&lt;210),"S1",IF(AND(B107&gt;=210,B107&lt;330),"S2","S3"))</f>
        <v>S1</v>
      </c>
      <c r="G107" s="6" t="n">
        <f aca="false">IF(F107="S1",Supuestos!$C$26,IF(F107="S2",Supuestos!$C$27,Supuestos!$C$28))</f>
        <v>150</v>
      </c>
      <c r="H107" s="7" t="n">
        <f aca="false">MOD(B107-G107+180,360)-180</f>
        <v>-31.8</v>
      </c>
      <c r="I107" s="7" t="n">
        <f aca="false">Supuestos!$C$7-(D107-Supuestos!$C$8)-Supuestos!$C$9</f>
        <v>10.5</v>
      </c>
      <c r="J107" s="7" t="n">
        <f aca="false">SQRT(C107^2+I107^2)</f>
        <v>266.806690320914</v>
      </c>
      <c r="K107" s="20" t="n">
        <f aca="false">DEGREES(ATAN2(C107,I107))</f>
        <v>2.25541976978026</v>
      </c>
      <c r="L107" s="20" t="n">
        <f aca="false">K107-(Supuestos!$C$21+Supuestos!$C$22)</f>
        <v>-1.74458023021974</v>
      </c>
      <c r="M107" s="7" t="n">
        <f aca="false">MIN(6*(2*H107/Supuestos!$C$20)^2,Supuestos!$C$24)</f>
        <v>1.29307688209281</v>
      </c>
      <c r="N107" s="21" t="n">
        <f aca="false">PI()*Supuestos!$C$23/Supuestos!$C$6*SIN(RADIANS(L107))</f>
        <v>-0.679085461064824</v>
      </c>
      <c r="O107" s="7" t="n">
        <f aca="false">IF(ABS(N107)&lt;0.000000001,0,MIN(-20*LOG10(MAX(ABS(SIN(N107)/N107),0.000001)),Supuestos!$C$25))</f>
        <v>0.678166674265438</v>
      </c>
      <c r="P107" s="7" t="n">
        <f aca="false">Supuestos!$C$19-M107-O107</f>
        <v>13.5287564436417</v>
      </c>
      <c r="Q107" s="7" t="n">
        <f aca="false">32.44+20*LOG10(J107/1000)+20*LOG10(Supuestos!$C$5*1000)</f>
        <v>96.2324941822228</v>
      </c>
      <c r="R107" s="7" t="n">
        <f aca="false">IF(E107&lt;=0,0,IF(E107&lt;=14,0.45*Supuestos!$C$5^0.284*E107,1.33*Supuestos!$C$5^0.284*MIN(E107,400)^0.588))</f>
        <v>24.3342590134448</v>
      </c>
      <c r="S107" s="7" t="n">
        <f aca="false">Q107+R107+Supuestos!$C$12+Supuestos!$C$13+Supuestos!$C$11-P107-Supuestos!$C$10</f>
        <v>85.8379967520259</v>
      </c>
      <c r="T107" s="7" t="n">
        <f aca="false">MCS!$E$5-S107-MCS!$G$5</f>
        <v>35.1620032479741</v>
      </c>
      <c r="U107" s="7" t="n">
        <f aca="false">T107-Supuestos!$C$15</f>
        <v>32.1620032479741</v>
      </c>
      <c r="V107" s="5" t="n">
        <f aca="false">SUMPRODUCT(--(MCS!$E$5:$E$14-$S107-MCS!$G$5:$G$14&gt;=Supuestos!$C$16))</f>
        <v>8</v>
      </c>
      <c r="W107" s="5" t="n">
        <f aca="false">SUMPRODUCT(--(MCS!$E$5:$E$14-Supuestos!$C$15-$S107-MCS!$G$5:$G$14&gt;=Supuestos!$C$16))</f>
        <v>7</v>
      </c>
      <c r="X107" s="6" t="str">
        <f aca="false">IF(V107=0,"ninguno",INDEX(MCS!$A$5:$A$14,V107))</f>
        <v>64QAM 5/6</v>
      </c>
      <c r="Y107" s="7" t="n">
        <f aca="false">IF(V107=0,0,INDEX(MCS!$F$5:$F$14,V107))</f>
        <v>144.444444444444</v>
      </c>
      <c r="Z107" s="7" t="n">
        <f aca="false">IF(W107=0,0,INDEX(MCS!$F$5:$F$14,W107))</f>
        <v>130</v>
      </c>
      <c r="AA107" s="22" t="n">
        <f aca="false">IF(Y107&gt;0,Supuestos!$C$29*Supuestos!$C$30/(Supuestos!$C$17*Y107),0)</f>
        <v>0.00958579881656805</v>
      </c>
      <c r="AB107" s="22" t="n">
        <f aca="false">IF(Z107&gt;0,Supuestos!$C$29*Supuestos!$C$31/(Supuestos!$C$17*Z107),0)</f>
        <v>0.00133136094674556</v>
      </c>
    </row>
    <row r="108" customFormat="false" ht="15" hidden="false" customHeight="false" outlineLevel="0" collapsed="false">
      <c r="A108" s="13" t="n">
        <v>104</v>
      </c>
      <c r="B108" s="17" t="n">
        <v>100.4</v>
      </c>
      <c r="C108" s="18" t="n">
        <v>318.1</v>
      </c>
      <c r="D108" s="18" t="n">
        <v>213.9</v>
      </c>
      <c r="E108" s="19" t="n">
        <v>79</v>
      </c>
      <c r="F108" s="6" t="str">
        <f aca="false">IF(AND(B108&gt;=90,B108&lt;210),"S1",IF(AND(B108&gt;=210,B108&lt;330),"S2","S3"))</f>
        <v>S1</v>
      </c>
      <c r="G108" s="6" t="n">
        <f aca="false">IF(F108="S1",Supuestos!$C$26,IF(F108="S2",Supuestos!$C$27,Supuestos!$C$28))</f>
        <v>150</v>
      </c>
      <c r="H108" s="7" t="n">
        <f aca="false">MOD(B108-G108+180,360)-180</f>
        <v>-49.6</v>
      </c>
      <c r="I108" s="7" t="n">
        <f aca="false">Supuestos!$C$7-(D108-Supuestos!$C$8)-Supuestos!$C$9</f>
        <v>16.1</v>
      </c>
      <c r="J108" s="7" t="n">
        <f aca="false">SQRT(C108^2+I108^2)</f>
        <v>318.507174173519</v>
      </c>
      <c r="K108" s="20" t="n">
        <f aca="false">DEGREES(ATAN2(C108,I108))</f>
        <v>2.89743972106351</v>
      </c>
      <c r="L108" s="20" t="n">
        <f aca="false">K108-(Supuestos!$C$21+Supuestos!$C$22)</f>
        <v>-1.10256027893649</v>
      </c>
      <c r="M108" s="7" t="n">
        <f aca="false">MIN(6*(2*H108/Supuestos!$C$20)^2,Supuestos!$C$24)</f>
        <v>3.14581703873408</v>
      </c>
      <c r="N108" s="21" t="n">
        <f aca="false">PI()*Supuestos!$C$23/Supuestos!$C$6*SIN(RADIANS(L108))</f>
        <v>-0.429216228117221</v>
      </c>
      <c r="O108" s="7" t="n">
        <f aca="false">IF(ABS(N108)&lt;0.000000001,0,MIN(-20*LOG10(MAX(ABS(SIN(N108)/N108),0.000001)),Supuestos!$C$25))</f>
        <v>0.268352447074585</v>
      </c>
      <c r="P108" s="7" t="n">
        <f aca="false">Supuestos!$C$19-M108-O108</f>
        <v>12.0858305141913</v>
      </c>
      <c r="Q108" s="7" t="n">
        <f aca="false">32.44+20*LOG10(J108/1000)+20*LOG10(Supuestos!$C$5*1000)</f>
        <v>97.7709442510837</v>
      </c>
      <c r="R108" s="7" t="n">
        <f aca="false">IF(E108&lt;=0,0,IF(E108&lt;=14,0.45*Supuestos!$C$5^0.284*E108,1.33*Supuestos!$C$5^0.284*MIN(E108,400)^0.588))</f>
        <v>28.6068422312928</v>
      </c>
      <c r="S108" s="7" t="n">
        <f aca="false">Q108+R108+Supuestos!$C$12+Supuestos!$C$13+Supuestos!$C$11-P108-Supuestos!$C$10</f>
        <v>93.0919559681851</v>
      </c>
      <c r="T108" s="7" t="n">
        <f aca="false">MCS!$E$5-S108-MCS!$G$5</f>
        <v>27.9080440318149</v>
      </c>
      <c r="U108" s="7" t="n">
        <f aca="false">T108-Supuestos!$C$15</f>
        <v>24.9080440318149</v>
      </c>
      <c r="V108" s="5" t="n">
        <f aca="false">SUMPRODUCT(--(MCS!$E$5:$E$14-$S108-MCS!$G$5:$G$14&gt;=Supuestos!$C$16))</f>
        <v>6</v>
      </c>
      <c r="W108" s="5" t="n">
        <f aca="false">SUMPRODUCT(--(MCS!$E$5:$E$14-Supuestos!$C$15-$S108-MCS!$G$5:$G$14&gt;=Supuestos!$C$16))</f>
        <v>6</v>
      </c>
      <c r="X108" s="6" t="str">
        <f aca="false">IF(V108=0,"ninguno",INDEX(MCS!$A$5:$A$14,V108))</f>
        <v>64QAM 2/3</v>
      </c>
      <c r="Y108" s="7" t="n">
        <f aca="false">IF(V108=0,0,INDEX(MCS!$F$5:$F$14,V108))</f>
        <v>115.555555555556</v>
      </c>
      <c r="Z108" s="7" t="n">
        <f aca="false">IF(W108=0,0,INDEX(MCS!$F$5:$F$14,W108))</f>
        <v>115.555555555556</v>
      </c>
      <c r="AA108" s="22" t="n">
        <f aca="false">IF(Y108&gt;0,Supuestos!$C$29*Supuestos!$C$30/(Supuestos!$C$17*Y108),0)</f>
        <v>0.0119822485207101</v>
      </c>
      <c r="AB108" s="22" t="n">
        <f aca="false">IF(Z108&gt;0,Supuestos!$C$29*Supuestos!$C$31/(Supuestos!$C$17*Z108),0)</f>
        <v>0.00149778106508876</v>
      </c>
    </row>
    <row r="109" customFormat="false" ht="15" hidden="false" customHeight="false" outlineLevel="0" collapsed="false">
      <c r="A109" s="13" t="n">
        <v>105</v>
      </c>
      <c r="B109" s="17" t="n">
        <v>100.1</v>
      </c>
      <c r="C109" s="18" t="n">
        <v>353.2</v>
      </c>
      <c r="D109" s="18" t="n">
        <v>219.6</v>
      </c>
      <c r="E109" s="19" t="n">
        <v>73</v>
      </c>
      <c r="F109" s="6" t="str">
        <f aca="false">IF(AND(B109&gt;=90,B109&lt;210),"S1",IF(AND(B109&gt;=210,B109&lt;330),"S2","S3"))</f>
        <v>S1</v>
      </c>
      <c r="G109" s="6" t="n">
        <f aca="false">IF(F109="S1",Supuestos!$C$26,IF(F109="S2",Supuestos!$C$27,Supuestos!$C$28))</f>
        <v>150</v>
      </c>
      <c r="H109" s="7" t="n">
        <f aca="false">MOD(B109-G109+180,360)-180</f>
        <v>-49.9</v>
      </c>
      <c r="I109" s="7" t="n">
        <f aca="false">Supuestos!$C$7-(D109-Supuestos!$C$8)-Supuestos!$C$9</f>
        <v>10.4</v>
      </c>
      <c r="J109" s="7" t="n">
        <f aca="false">SQRT(C109^2+I109^2)</f>
        <v>353.35308120915</v>
      </c>
      <c r="K109" s="20" t="n">
        <f aca="false">DEGREES(ATAN2(C109,I109))</f>
        <v>1.68659112631921</v>
      </c>
      <c r="L109" s="20" t="n">
        <f aca="false">K109-(Supuestos!$C$21+Supuestos!$C$22)</f>
        <v>-2.31340887368079</v>
      </c>
      <c r="M109" s="7" t="n">
        <f aca="false">MIN(6*(2*H109/Supuestos!$C$20)^2,Supuestos!$C$24)</f>
        <v>3.18398636048804</v>
      </c>
      <c r="N109" s="21" t="n">
        <f aca="false">PI()*Supuestos!$C$23/Supuestos!$C$6*SIN(RADIANS(L109))</f>
        <v>-0.900398956438398</v>
      </c>
      <c r="O109" s="7" t="n">
        <f aca="false">IF(ABS(N109)&lt;0.000000001,0,MIN(-20*LOG10(MAX(ABS(SIN(N109)/N109),0.000001)),Supuestos!$C$25))</f>
        <v>1.20708997749988</v>
      </c>
      <c r="P109" s="7" t="n">
        <f aca="false">Supuestos!$C$19-M109-O109</f>
        <v>11.1089236620121</v>
      </c>
      <c r="Q109" s="7" t="n">
        <f aca="false">32.44+20*LOG10(J109/1000)+20*LOG10(Supuestos!$C$5*1000)</f>
        <v>98.6727375248309</v>
      </c>
      <c r="R109" s="7" t="n">
        <f aca="false">IF(E109&lt;=0,0,IF(E109&lt;=14,0.45*Supuestos!$C$5^0.284*E109,1.33*Supuestos!$C$5^0.284*MIN(E109,400)^0.588))</f>
        <v>27.308574638944</v>
      </c>
      <c r="S109" s="7" t="n">
        <f aca="false">Q109+R109+Supuestos!$C$12+Supuestos!$C$13+Supuestos!$C$11-P109-Supuestos!$C$10</f>
        <v>93.6723885017628</v>
      </c>
      <c r="T109" s="7" t="n">
        <f aca="false">MCS!$E$5-S109-MCS!$G$5</f>
        <v>27.3276114982372</v>
      </c>
      <c r="U109" s="7" t="n">
        <f aca="false">T109-Supuestos!$C$15</f>
        <v>24.3276114982372</v>
      </c>
      <c r="V109" s="5" t="n">
        <f aca="false">SUMPRODUCT(--(MCS!$E$5:$E$14-$S109-MCS!$G$5:$G$14&gt;=Supuestos!$C$16))</f>
        <v>6</v>
      </c>
      <c r="W109" s="5" t="n">
        <f aca="false">SUMPRODUCT(--(MCS!$E$5:$E$14-Supuestos!$C$15-$S109-MCS!$G$5:$G$14&gt;=Supuestos!$C$16))</f>
        <v>6</v>
      </c>
      <c r="X109" s="6" t="str">
        <f aca="false">IF(V109=0,"ninguno",INDEX(MCS!$A$5:$A$14,V109))</f>
        <v>64QAM 2/3</v>
      </c>
      <c r="Y109" s="7" t="n">
        <f aca="false">IF(V109=0,0,INDEX(MCS!$F$5:$F$14,V109))</f>
        <v>115.555555555556</v>
      </c>
      <c r="Z109" s="7" t="n">
        <f aca="false">IF(W109=0,0,INDEX(MCS!$F$5:$F$14,W109))</f>
        <v>115.555555555556</v>
      </c>
      <c r="AA109" s="22" t="n">
        <f aca="false">IF(Y109&gt;0,Supuestos!$C$29*Supuestos!$C$30/(Supuestos!$C$17*Y109),0)</f>
        <v>0.0119822485207101</v>
      </c>
      <c r="AB109" s="22" t="n">
        <f aca="false">IF(Z109&gt;0,Supuestos!$C$29*Supuestos!$C$31/(Supuestos!$C$17*Z109),0)</f>
        <v>0.00149778106508876</v>
      </c>
    </row>
    <row r="110" customFormat="false" ht="15" hidden="false" customHeight="false" outlineLevel="0" collapsed="false">
      <c r="A110" s="13" t="n">
        <v>106</v>
      </c>
      <c r="B110" s="17" t="n">
        <v>102.9</v>
      </c>
      <c r="C110" s="18" t="n">
        <v>359.3</v>
      </c>
      <c r="D110" s="18" t="n">
        <v>223.9</v>
      </c>
      <c r="E110" s="19" t="n">
        <v>14</v>
      </c>
      <c r="F110" s="6" t="str">
        <f aca="false">IF(AND(B110&gt;=90,B110&lt;210),"S1",IF(AND(B110&gt;=210,B110&lt;330),"S2","S3"))</f>
        <v>S1</v>
      </c>
      <c r="G110" s="6" t="n">
        <f aca="false">IF(F110="S1",Supuestos!$C$26,IF(F110="S2",Supuestos!$C$27,Supuestos!$C$28))</f>
        <v>150</v>
      </c>
      <c r="H110" s="7" t="n">
        <f aca="false">MOD(B110-G110+180,360)-180</f>
        <v>-47.1</v>
      </c>
      <c r="I110" s="7" t="n">
        <f aca="false">Supuestos!$C$7-(D110-Supuestos!$C$8)-Supuestos!$C$9</f>
        <v>6.09999999999999</v>
      </c>
      <c r="J110" s="7" t="n">
        <f aca="false">SQRT(C110^2+I110^2)</f>
        <v>359.351777510561</v>
      </c>
      <c r="K110" s="20" t="n">
        <f aca="false">DEGREES(ATAN2(C110,I110))</f>
        <v>0.972643142677421</v>
      </c>
      <c r="L110" s="20" t="n">
        <f aca="false">K110-(Supuestos!$C$21+Supuestos!$C$22)</f>
        <v>-3.02735685732258</v>
      </c>
      <c r="M110" s="7" t="n">
        <f aca="false">MIN(6*(2*H110/Supuestos!$C$20)^2,Supuestos!$C$24)</f>
        <v>2.83669028717566</v>
      </c>
      <c r="N110" s="21" t="n">
        <f aca="false">PI()*Supuestos!$C$23/Supuestos!$C$6*SIN(RADIANS(L110))</f>
        <v>-1.1780456440321</v>
      </c>
      <c r="O110" s="7" t="n">
        <f aca="false">IF(ABS(N110)&lt;0.000000001,0,MIN(-20*LOG10(MAX(ABS(SIN(N110)/N110),0.000001)),Supuestos!$C$25))</f>
        <v>2.11112110127801</v>
      </c>
      <c r="P110" s="7" t="n">
        <f aca="false">Supuestos!$C$19-M110-O110</f>
        <v>10.5521886115463</v>
      </c>
      <c r="Q110" s="7" t="n">
        <f aca="false">32.44+20*LOG10(J110/1000)+20*LOG10(Supuestos!$C$5*1000)</f>
        <v>98.8189558194173</v>
      </c>
      <c r="R110" s="7" t="n">
        <f aca="false">IF(E110&lt;=0,0,IF(E110&lt;=14,0.45*Supuestos!$C$5^0.284*E110,1.33*Supuestos!$C$5^0.284*MIN(E110,400)^0.588))</f>
        <v>10.3789662475387</v>
      </c>
      <c r="S110" s="7" t="n">
        <f aca="false">Q110+R110+Supuestos!$C$12+Supuestos!$C$13+Supuestos!$C$11-P110-Supuestos!$C$10</f>
        <v>77.4457334554097</v>
      </c>
      <c r="T110" s="7" t="n">
        <f aca="false">MCS!$E$5-S110-MCS!$G$5</f>
        <v>43.5542665445903</v>
      </c>
      <c r="U110" s="7" t="n">
        <f aca="false">T110-Supuestos!$C$15</f>
        <v>40.5542665445903</v>
      </c>
      <c r="V110" s="5" t="n">
        <f aca="false">SUMPRODUCT(--(MCS!$E$5:$E$14-$S110-MCS!$G$5:$G$14&gt;=Supuestos!$C$16))</f>
        <v>9</v>
      </c>
      <c r="W110" s="5" t="n">
        <f aca="false">SUMPRODUCT(--(MCS!$E$5:$E$14-Supuestos!$C$15-$S110-MCS!$G$5:$G$14&gt;=Supuestos!$C$16))</f>
        <v>8</v>
      </c>
      <c r="X110" s="6" t="str">
        <f aca="false">IF(V110=0,"ninguno",INDEX(MCS!$A$5:$A$14,V110))</f>
        <v>256QAM 3/4</v>
      </c>
      <c r="Y110" s="7" t="n">
        <f aca="false">IF(V110=0,0,INDEX(MCS!$F$5:$F$14,V110))</f>
        <v>173.333333333333</v>
      </c>
      <c r="Z110" s="7" t="n">
        <f aca="false">IF(W110=0,0,INDEX(MCS!$F$5:$F$14,W110))</f>
        <v>144.444444444444</v>
      </c>
      <c r="AA110" s="22" t="n">
        <f aca="false">IF(Y110&gt;0,Supuestos!$C$29*Supuestos!$C$30/(Supuestos!$C$17*Y110),0)</f>
        <v>0.00798816568047337</v>
      </c>
      <c r="AB110" s="22" t="n">
        <f aca="false">IF(Z110&gt;0,Supuestos!$C$29*Supuestos!$C$31/(Supuestos!$C$17*Z110),0)</f>
        <v>0.00119822485207101</v>
      </c>
    </row>
    <row r="111" customFormat="false" ht="15" hidden="false" customHeight="false" outlineLevel="0" collapsed="false">
      <c r="A111" s="13" t="n">
        <v>107</v>
      </c>
      <c r="B111" s="17" t="n">
        <v>106.3</v>
      </c>
      <c r="C111" s="18" t="n">
        <v>355.2</v>
      </c>
      <c r="D111" s="18" t="n">
        <v>226.7</v>
      </c>
      <c r="E111" s="19" t="n">
        <v>78</v>
      </c>
      <c r="F111" s="6" t="str">
        <f aca="false">IF(AND(B111&gt;=90,B111&lt;210),"S1",IF(AND(B111&gt;=210,B111&lt;330),"S2","S3"))</f>
        <v>S1</v>
      </c>
      <c r="G111" s="6" t="n">
        <f aca="false">IF(F111="S1",Supuestos!$C$26,IF(F111="S2",Supuestos!$C$27,Supuestos!$C$28))</f>
        <v>150</v>
      </c>
      <c r="H111" s="7" t="n">
        <f aca="false">MOD(B111-G111+180,360)-180</f>
        <v>-43.7</v>
      </c>
      <c r="I111" s="7" t="n">
        <f aca="false">Supuestos!$C$7-(D111-Supuestos!$C$8)-Supuestos!$C$9</f>
        <v>3.30000000000001</v>
      </c>
      <c r="J111" s="7" t="n">
        <f aca="false">SQRT(C111^2+I111^2)</f>
        <v>355.21532906112</v>
      </c>
      <c r="K111" s="20" t="n">
        <f aca="false">DEGREES(ATAN2(C111,I111))</f>
        <v>0.532293447902964</v>
      </c>
      <c r="L111" s="20" t="n">
        <f aca="false">K111-(Supuestos!$C$21+Supuestos!$C$22)</f>
        <v>-3.46770655209704</v>
      </c>
      <c r="M111" s="7" t="n">
        <f aca="false">MIN(6*(2*H111/Supuestos!$C$20)^2,Supuestos!$C$24)</f>
        <v>2.44192871223826</v>
      </c>
      <c r="N111" s="21" t="n">
        <f aca="false">PI()*Supuestos!$C$23/Supuestos!$C$6*SIN(RADIANS(L111))</f>
        <v>-1.34920444563687</v>
      </c>
      <c r="O111" s="7" t="n">
        <f aca="false">IF(ABS(N111)&lt;0.000000001,0,MIN(-20*LOG10(MAX(ABS(SIN(N111)/N111),0.000001)),Supuestos!$C$25))</f>
        <v>2.81657513515903</v>
      </c>
      <c r="P111" s="7" t="n">
        <f aca="false">Supuestos!$C$19-M111-O111</f>
        <v>10.2414961526027</v>
      </c>
      <c r="Q111" s="7" t="n">
        <f aca="false">32.44+20*LOG10(J111/1000)+20*LOG10(Supuestos!$C$5*1000)</f>
        <v>98.7183938547757</v>
      </c>
      <c r="R111" s="7" t="n">
        <f aca="false">IF(E111&lt;=0,0,IF(E111&lt;=14,0.45*Supuestos!$C$5^0.284*E111,1.33*Supuestos!$C$5^0.284*MIN(E111,400)^0.588))</f>
        <v>28.3933618710628</v>
      </c>
      <c r="S111" s="7" t="n">
        <f aca="false">Q111+R111+Supuestos!$C$12+Supuestos!$C$13+Supuestos!$C$11-P111-Supuestos!$C$10</f>
        <v>95.6702595732357</v>
      </c>
      <c r="T111" s="7" t="n">
        <f aca="false">MCS!$E$5-S111-MCS!$G$5</f>
        <v>25.3297404267643</v>
      </c>
      <c r="U111" s="7" t="n">
        <f aca="false">T111-Supuestos!$C$15</f>
        <v>22.3297404267643</v>
      </c>
      <c r="V111" s="5" t="n">
        <f aca="false">SUMPRODUCT(--(MCS!$E$5:$E$14-$S111-MCS!$G$5:$G$14&gt;=Supuestos!$C$16))</f>
        <v>6</v>
      </c>
      <c r="W111" s="5" t="n">
        <f aca="false">SUMPRODUCT(--(MCS!$E$5:$E$14-Supuestos!$C$15-$S111-MCS!$G$5:$G$14&gt;=Supuestos!$C$16))</f>
        <v>5</v>
      </c>
      <c r="X111" s="6" t="str">
        <f aca="false">IF(V111=0,"ninguno",INDEX(MCS!$A$5:$A$14,V111))</f>
        <v>64QAM 2/3</v>
      </c>
      <c r="Y111" s="7" t="n">
        <f aca="false">IF(V111=0,0,INDEX(MCS!$F$5:$F$14,V111))</f>
        <v>115.555555555556</v>
      </c>
      <c r="Z111" s="7" t="n">
        <f aca="false">IF(W111=0,0,INDEX(MCS!$F$5:$F$14,W111))</f>
        <v>86.6666666666667</v>
      </c>
      <c r="AA111" s="22" t="n">
        <f aca="false">IF(Y111&gt;0,Supuestos!$C$29*Supuestos!$C$30/(Supuestos!$C$17*Y111),0)</f>
        <v>0.0119822485207101</v>
      </c>
      <c r="AB111" s="22" t="n">
        <f aca="false">IF(Z111&gt;0,Supuestos!$C$29*Supuestos!$C$31/(Supuestos!$C$17*Z111),0)</f>
        <v>0.00199704142011834</v>
      </c>
    </row>
    <row r="112" customFormat="false" ht="15" hidden="false" customHeight="false" outlineLevel="0" collapsed="false">
      <c r="A112" s="13" t="n">
        <v>108</v>
      </c>
      <c r="B112" s="17" t="n">
        <v>99.5</v>
      </c>
      <c r="C112" s="18" t="n">
        <v>385.4</v>
      </c>
      <c r="D112" s="18" t="n">
        <v>229.7</v>
      </c>
      <c r="E112" s="19" t="n">
        <v>0</v>
      </c>
      <c r="F112" s="6" t="str">
        <f aca="false">IF(AND(B112&gt;=90,B112&lt;210),"S1",IF(AND(B112&gt;=210,B112&lt;330),"S2","S3"))</f>
        <v>S1</v>
      </c>
      <c r="G112" s="6" t="n">
        <f aca="false">IF(F112="S1",Supuestos!$C$26,IF(F112="S2",Supuestos!$C$27,Supuestos!$C$28))</f>
        <v>150</v>
      </c>
      <c r="H112" s="7" t="n">
        <f aca="false">MOD(B112-G112+180,360)-180</f>
        <v>-50.5</v>
      </c>
      <c r="I112" s="7" t="n">
        <f aca="false">Supuestos!$C$7-(D112-Supuestos!$C$8)-Supuestos!$C$9</f>
        <v>0.300000000000011</v>
      </c>
      <c r="J112" s="7" t="n">
        <f aca="false">SQRT(C112^2+I112^2)</f>
        <v>385.400116761788</v>
      </c>
      <c r="K112" s="20" t="n">
        <f aca="false">DEGREES(ATAN2(C112,I112))</f>
        <v>0.0445997155740279</v>
      </c>
      <c r="L112" s="20" t="n">
        <f aca="false">K112-(Supuestos!$C$21+Supuestos!$C$22)</f>
        <v>-3.95540028442597</v>
      </c>
      <c r="M112" s="7" t="n">
        <f aca="false">MIN(6*(2*H112/Supuestos!$C$20)^2,Supuestos!$C$24)</f>
        <v>3.26101550428899</v>
      </c>
      <c r="N112" s="21" t="n">
        <f aca="false">PI()*Supuestos!$C$23/Supuestos!$C$6*SIN(RADIANS(L112))</f>
        <v>-1.53867189391171</v>
      </c>
      <c r="O112" s="7" t="n">
        <f aca="false">IF(ABS(N112)&lt;0.000000001,0,MIN(-20*LOG10(MAX(ABS(SIN(N112)/N112),0.000001)),Supuestos!$C$25))</f>
        <v>3.74740301644289</v>
      </c>
      <c r="P112" s="7" t="n">
        <f aca="false">Supuestos!$C$19-M112-O112</f>
        <v>8.49158147926812</v>
      </c>
      <c r="Q112" s="7" t="n">
        <f aca="false">32.44+20*LOG10(J112/1000)+20*LOG10(Supuestos!$C$5*1000)</f>
        <v>99.4267967091468</v>
      </c>
      <c r="R112" s="7" t="n">
        <f aca="false">IF(E112&lt;=0,0,IF(E112&lt;=14,0.45*Supuestos!$C$5^0.284*E112,1.33*Supuestos!$C$5^0.284*MIN(E112,400)^0.588))</f>
        <v>0</v>
      </c>
      <c r="S112" s="7" t="n">
        <f aca="false">Q112+R112+Supuestos!$C$12+Supuestos!$C$13+Supuestos!$C$11-P112-Supuestos!$C$10</f>
        <v>69.7352152298787</v>
      </c>
      <c r="T112" s="7" t="n">
        <f aca="false">MCS!$E$5-S112-MCS!$G$5</f>
        <v>51.2647847701213</v>
      </c>
      <c r="U112" s="7" t="n">
        <f aca="false">T112-Supuestos!$C$15</f>
        <v>48.2647847701213</v>
      </c>
      <c r="V112" s="5" t="n">
        <f aca="false">SUMPRODUCT(--(MCS!$E$5:$E$14-$S112-MCS!$G$5:$G$14&gt;=Supuestos!$C$16))</f>
        <v>10</v>
      </c>
      <c r="W112" s="5" t="n">
        <f aca="false">SUMPRODUCT(--(MCS!$E$5:$E$14-Supuestos!$C$15-$S112-MCS!$G$5:$G$14&gt;=Supuestos!$C$16))</f>
        <v>10</v>
      </c>
      <c r="X112" s="6" t="str">
        <f aca="false">IF(V112=0,"ninguno",INDEX(MCS!$A$5:$A$14,V112))</f>
        <v>256QAM 5/6</v>
      </c>
      <c r="Y112" s="7" t="n">
        <f aca="false">IF(V112=0,0,INDEX(MCS!$F$5:$F$14,V112))</f>
        <v>192.592592592593</v>
      </c>
      <c r="Z112" s="7" t="n">
        <f aca="false">IF(W112=0,0,INDEX(MCS!$F$5:$F$14,W112))</f>
        <v>192.592592592593</v>
      </c>
      <c r="AA112" s="22" t="n">
        <f aca="false">IF(Y112&gt;0,Supuestos!$C$29*Supuestos!$C$30/(Supuestos!$C$17*Y112),0)</f>
        <v>0.00718934911242604</v>
      </c>
      <c r="AB112" s="22" t="n">
        <f aca="false">IF(Z112&gt;0,Supuestos!$C$29*Supuestos!$C$31/(Supuestos!$C$17*Z112),0)</f>
        <v>0.000898668639053254</v>
      </c>
    </row>
    <row r="113" customFormat="false" ht="15" hidden="false" customHeight="false" outlineLevel="0" collapsed="false">
      <c r="A113" s="13" t="n">
        <v>109</v>
      </c>
      <c r="B113" s="17" t="n">
        <v>99</v>
      </c>
      <c r="C113" s="18" t="n">
        <v>404.6</v>
      </c>
      <c r="D113" s="18" t="n">
        <v>236.1</v>
      </c>
      <c r="E113" s="19" t="n">
        <v>0</v>
      </c>
      <c r="F113" s="6" t="str">
        <f aca="false">IF(AND(B113&gt;=90,B113&lt;210),"S1",IF(AND(B113&gt;=210,B113&lt;330),"S2","S3"))</f>
        <v>S1</v>
      </c>
      <c r="G113" s="6" t="n">
        <f aca="false">IF(F113="S1",Supuestos!$C$26,IF(F113="S2",Supuestos!$C$27,Supuestos!$C$28))</f>
        <v>150</v>
      </c>
      <c r="H113" s="7" t="n">
        <f aca="false">MOD(B113-G113+180,360)-180</f>
        <v>-51</v>
      </c>
      <c r="I113" s="7" t="n">
        <f aca="false">Supuestos!$C$7-(D113-Supuestos!$C$8)-Supuestos!$C$9</f>
        <v>-6.09999999999999</v>
      </c>
      <c r="J113" s="7" t="n">
        <f aca="false">SQRT(C113^2+I113^2)</f>
        <v>404.645981074816</v>
      </c>
      <c r="K113" s="20" t="n">
        <f aca="false">DEGREES(ATAN2(C113,I113))</f>
        <v>-0.863761189697245</v>
      </c>
      <c r="L113" s="20" t="n">
        <f aca="false">K113-(Supuestos!$C$21+Supuestos!$C$22)</f>
        <v>-4.86376118969725</v>
      </c>
      <c r="M113" s="7" t="n">
        <f aca="false">MIN(6*(2*H113/Supuestos!$C$20)^2,Supuestos!$C$24)</f>
        <v>3.32590974479194</v>
      </c>
      <c r="N113" s="21" t="n">
        <f aca="false">PI()*Supuestos!$C$23/Supuestos!$C$6*SIN(RADIANS(L113))</f>
        <v>-1.89125948523893</v>
      </c>
      <c r="O113" s="7" t="n">
        <f aca="false">IF(ABS(N113)&lt;0.000000001,0,MIN(-20*LOG10(MAX(ABS(SIN(N113)/N113),0.000001)),Supuestos!$C$25))</f>
        <v>5.98887789108503</v>
      </c>
      <c r="P113" s="7" t="n">
        <f aca="false">Supuestos!$C$19-M113-O113</f>
        <v>6.18521236412303</v>
      </c>
      <c r="Q113" s="7" t="n">
        <f aca="false">32.44+20*LOG10(J113/1000)+20*LOG10(Supuestos!$C$5*1000)</f>
        <v>99.8500644984041</v>
      </c>
      <c r="R113" s="7" t="n">
        <f aca="false">IF(E113&lt;=0,0,IF(E113&lt;=14,0.45*Supuestos!$C$5^0.284*E113,1.33*Supuestos!$C$5^0.284*MIN(E113,400)^0.588))</f>
        <v>0</v>
      </c>
      <c r="S113" s="7" t="n">
        <f aca="false">Q113+R113+Supuestos!$C$12+Supuestos!$C$13+Supuestos!$C$11-P113-Supuestos!$C$10</f>
        <v>72.4648521342811</v>
      </c>
      <c r="T113" s="7" t="n">
        <f aca="false">MCS!$E$5-S113-MCS!$G$5</f>
        <v>48.535147865719</v>
      </c>
      <c r="U113" s="7" t="n">
        <f aca="false">T113-Supuestos!$C$15</f>
        <v>45.535147865719</v>
      </c>
      <c r="V113" s="5" t="n">
        <f aca="false">SUMPRODUCT(--(MCS!$E$5:$E$14-$S113-MCS!$G$5:$G$14&gt;=Supuestos!$C$16))</f>
        <v>10</v>
      </c>
      <c r="W113" s="5" t="n">
        <f aca="false">SUMPRODUCT(--(MCS!$E$5:$E$14-Supuestos!$C$15-$S113-MCS!$G$5:$G$14&gt;=Supuestos!$C$16))</f>
        <v>9</v>
      </c>
      <c r="X113" s="6" t="str">
        <f aca="false">IF(V113=0,"ninguno",INDEX(MCS!$A$5:$A$14,V113))</f>
        <v>256QAM 5/6</v>
      </c>
      <c r="Y113" s="7" t="n">
        <f aca="false">IF(V113=0,0,INDEX(MCS!$F$5:$F$14,V113))</f>
        <v>192.592592592593</v>
      </c>
      <c r="Z113" s="7" t="n">
        <f aca="false">IF(W113=0,0,INDEX(MCS!$F$5:$F$14,W113))</f>
        <v>173.333333333333</v>
      </c>
      <c r="AA113" s="22" t="n">
        <f aca="false">IF(Y113&gt;0,Supuestos!$C$29*Supuestos!$C$30/(Supuestos!$C$17*Y113),0)</f>
        <v>0.00718934911242604</v>
      </c>
      <c r="AB113" s="22" t="n">
        <f aca="false">IF(Z113&gt;0,Supuestos!$C$29*Supuestos!$C$31/(Supuestos!$C$17*Z113),0)</f>
        <v>0.000998520710059172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169</v>
      </c>
    </row>
    <row r="2" customFormat="false" ht="15" hidden="false" customHeight="false" outlineLevel="0" collapsed="false">
      <c r="A2" s="2" t="s">
        <v>170</v>
      </c>
    </row>
    <row r="4" customFormat="false" ht="23.85" hidden="false" customHeight="false" outlineLevel="0" collapsed="false">
      <c r="A4" s="3" t="s">
        <v>146</v>
      </c>
      <c r="B4" s="3" t="s">
        <v>171</v>
      </c>
      <c r="C4" s="3" t="s">
        <v>172</v>
      </c>
      <c r="D4" s="3" t="s">
        <v>173</v>
      </c>
      <c r="E4" s="3" t="s">
        <v>174</v>
      </c>
      <c r="F4" s="3" t="s">
        <v>4</v>
      </c>
    </row>
    <row r="5" customFormat="false" ht="23.85" hidden="false" customHeight="false" outlineLevel="0" collapsed="false">
      <c r="A5" s="4" t="s">
        <v>175</v>
      </c>
      <c r="B5" s="6" t="n">
        <f aca="false">COUNTIF(Enlace_por_casa!$F$5:$F$113,A5)</f>
        <v>38</v>
      </c>
      <c r="C5" s="7" t="n">
        <f aca="false">B5*Supuestos!$C$29</f>
        <v>34.2</v>
      </c>
      <c r="D5" s="8" t="n">
        <f aca="false">SUMIF(Enlace_por_casa!$F$5:$F$113,A5,Enlace_por_casa!$AA$5:$AA$113)/Supuestos!$C$18</f>
        <v>0.437396449704142</v>
      </c>
      <c r="E5" s="8" t="n">
        <f aca="false">SUMIF(Enlace_por_casa!$F$5:$F$113,A5,Enlace_por_casa!$AB$5:$AB$113)/(1-Supuestos!$C$18)</f>
        <v>0.177204142011834</v>
      </c>
      <c r="F5" s="14" t="s">
        <v>176</v>
      </c>
    </row>
    <row r="6" customFormat="false" ht="15" hidden="false" customHeight="false" outlineLevel="0" collapsed="false">
      <c r="A6" s="4" t="s">
        <v>177</v>
      </c>
      <c r="B6" s="6" t="n">
        <f aca="false">COUNTIF(Enlace_por_casa!$F$5:$F$113,A6)</f>
        <v>39</v>
      </c>
      <c r="C6" s="7" t="n">
        <f aca="false">B6*Supuestos!$C$29</f>
        <v>35.1</v>
      </c>
      <c r="D6" s="8" t="n">
        <f aca="false">SUMIF(Enlace_por_casa!$F$5:$F$113,A6,Enlace_por_casa!$AA$5:$AA$113)/Supuestos!$C$18</f>
        <v>0.483550295857988</v>
      </c>
      <c r="E6" s="8" t="n">
        <f aca="false">SUMIF(Enlace_por_casa!$F$5:$F$113,A6,Enlace_por_casa!$AB$5:$AB$113)/(1-Supuestos!$C$18)</f>
        <v>0.206360946745562</v>
      </c>
    </row>
    <row r="7" customFormat="false" ht="15" hidden="false" customHeight="false" outlineLevel="0" collapsed="false">
      <c r="A7" s="4" t="s">
        <v>178</v>
      </c>
      <c r="B7" s="6" t="n">
        <f aca="false">COUNTIF(Enlace_por_casa!$F$5:$F$113,A7)</f>
        <v>32</v>
      </c>
      <c r="C7" s="7" t="n">
        <f aca="false">B7*Supuestos!$C$29</f>
        <v>28.8</v>
      </c>
      <c r="D7" s="8" t="n">
        <f aca="false">SUMIF(Enlace_por_casa!$F$5:$F$113,A7,Enlace_por_casa!$AA$5:$AA$113)/Supuestos!$C$18</f>
        <v>0.339763313609468</v>
      </c>
      <c r="E7" s="8" t="n">
        <f aca="false">SUMIF(Enlace_por_casa!$F$5:$F$113,A7,Enlace_por_casa!$AB$5:$AB$113)/(1-Supuestos!$C$18)</f>
        <v>0.131139053254438</v>
      </c>
    </row>
    <row r="9" customFormat="false" ht="15" hidden="false" customHeight="false" outlineLevel="0" collapsed="false">
      <c r="A9" s="12" t="s">
        <v>179</v>
      </c>
    </row>
    <row r="10" customFormat="false" ht="46.25" hidden="false" customHeight="false" outlineLevel="0" collapsed="false">
      <c r="A10" s="3" t="s">
        <v>180</v>
      </c>
      <c r="B10" s="3" t="s">
        <v>181</v>
      </c>
      <c r="C10" s="3" t="s">
        <v>182</v>
      </c>
      <c r="D10" s="3" t="s">
        <v>183</v>
      </c>
      <c r="E10" s="3" t="s">
        <v>184</v>
      </c>
      <c r="F10" s="3" t="s">
        <v>185</v>
      </c>
    </row>
    <row r="11" customFormat="false" ht="15" hidden="false" customHeight="false" outlineLevel="0" collapsed="false">
      <c r="A11" s="6" t="s">
        <v>186</v>
      </c>
      <c r="B11" s="23" t="n">
        <v>0.6</v>
      </c>
      <c r="C11" s="13" t="n">
        <v>4</v>
      </c>
      <c r="D11" s="8" t="n">
        <f aca="false">$D$5*(B11/Supuestos!$C$29)*(C11/(4))</f>
        <v>0.291597633136095</v>
      </c>
      <c r="E11" s="8" t="n">
        <f aca="false">$D$6*(B11/Supuestos!$C$29)*(C11/(4))</f>
        <v>0.322366863905325</v>
      </c>
      <c r="F11" s="8" t="n">
        <f aca="false">$D$7*(B11/Supuestos!$C$29)*(C11/(4))</f>
        <v>0.226508875739645</v>
      </c>
    </row>
    <row r="12" customFormat="false" ht="15" hidden="false" customHeight="false" outlineLevel="0" collapsed="false">
      <c r="A12" s="6" t="s">
        <v>187</v>
      </c>
      <c r="B12" s="23" t="n">
        <v>0.9</v>
      </c>
      <c r="C12" s="13" t="n">
        <v>4</v>
      </c>
      <c r="D12" s="8" t="n">
        <f aca="false">$D$5*(B12/Supuestos!$C$29)*(C12/(4))</f>
        <v>0.437396449704142</v>
      </c>
      <c r="E12" s="8" t="n">
        <f aca="false">$D$6*(B12/Supuestos!$C$29)*(C12/(4))</f>
        <v>0.483550295857988</v>
      </c>
      <c r="F12" s="8" t="n">
        <f aca="false">$D$7*(B12/Supuestos!$C$29)*(C12/(4))</f>
        <v>0.339763313609468</v>
      </c>
    </row>
    <row r="13" customFormat="false" ht="15" hidden="false" customHeight="false" outlineLevel="0" collapsed="false">
      <c r="A13" s="6" t="s">
        <v>188</v>
      </c>
      <c r="B13" s="23" t="n">
        <v>1</v>
      </c>
      <c r="C13" s="13" t="n">
        <v>6</v>
      </c>
      <c r="D13" s="8" t="n">
        <f aca="false">$D$5*(B13/Supuestos!$C$29)*(C13/(4))</f>
        <v>0.728994082840237</v>
      </c>
      <c r="E13" s="8" t="n">
        <f aca="false">$D$6*(B13/Supuestos!$C$29)*(C13/(4))</f>
        <v>0.805917159763314</v>
      </c>
      <c r="F13" s="8" t="n">
        <f aca="false">$D$7*(B13/Supuestos!$C$29)*(C13/(4))</f>
        <v>0.566272189349113</v>
      </c>
    </row>
    <row r="14" customFormat="false" ht="15" hidden="false" customHeight="false" outlineLevel="0" collapsed="false">
      <c r="A14" s="6" t="s">
        <v>189</v>
      </c>
      <c r="B14" s="23" t="n">
        <v>1</v>
      </c>
      <c r="C14" s="13" t="n">
        <v>8</v>
      </c>
      <c r="D14" s="8" t="n">
        <f aca="false">$D$5*(B14/Supuestos!$C$29)*(C14/(4))</f>
        <v>0.971992110453649</v>
      </c>
      <c r="E14" s="8" t="n">
        <f aca="false">$D$6*(B14/Supuestos!$C$29)*(C14/(4))</f>
        <v>1.07455621301775</v>
      </c>
      <c r="F14" s="8" t="n">
        <f aca="false">$D$7*(B14/Supuestos!$C$29)*(C14/(4))</f>
        <v>0.755029585798817</v>
      </c>
    </row>
    <row r="16" customFormat="false" ht="15" hidden="false" customHeight="false" outlineLevel="0" collapsed="false">
      <c r="A16" s="12" t="s">
        <v>190</v>
      </c>
    </row>
    <row r="17" customFormat="false" ht="15" hidden="false" customHeight="false" outlineLevel="0" collapsed="false">
      <c r="A17" s="3" t="s">
        <v>191</v>
      </c>
      <c r="B17" s="3" t="s">
        <v>186</v>
      </c>
      <c r="C17" s="3" t="s">
        <v>192</v>
      </c>
      <c r="D17" s="3" t="s">
        <v>60</v>
      </c>
      <c r="E17" s="3"/>
      <c r="F17" s="3" t="s">
        <v>4</v>
      </c>
    </row>
    <row r="18" customFormat="false" ht="15" hidden="false" customHeight="false" outlineLevel="0" collapsed="false">
      <c r="A18" s="6" t="s">
        <v>193</v>
      </c>
      <c r="B18" s="13" t="n">
        <v>65</v>
      </c>
      <c r="C18" s="13" t="n">
        <v>98</v>
      </c>
      <c r="D18" s="6" t="s">
        <v>194</v>
      </c>
      <c r="F18" s="6" t="s">
        <v>195</v>
      </c>
    </row>
    <row r="19" customFormat="false" ht="15" hidden="false" customHeight="false" outlineLevel="0" collapsed="false">
      <c r="A19" s="6" t="s">
        <v>196</v>
      </c>
      <c r="B19" s="13" t="n">
        <v>0.25</v>
      </c>
      <c r="C19" s="13" t="n">
        <v>0.25</v>
      </c>
      <c r="D19" s="6"/>
      <c r="F19" s="6" t="s">
        <v>80</v>
      </c>
    </row>
    <row r="20" customFormat="false" ht="15" hidden="false" customHeight="false" outlineLevel="0" collapsed="false">
      <c r="A20" s="6" t="s">
        <v>197</v>
      </c>
      <c r="B20" s="13" t="n">
        <v>4</v>
      </c>
      <c r="C20" s="13" t="n">
        <v>4</v>
      </c>
      <c r="D20" s="6" t="s">
        <v>113</v>
      </c>
      <c r="F20" s="6" t="s">
        <v>198</v>
      </c>
    </row>
    <row r="21" customFormat="false" ht="15" hidden="false" customHeight="false" outlineLevel="0" collapsed="false">
      <c r="A21" s="6" t="s">
        <v>199</v>
      </c>
      <c r="B21" s="13" t="n">
        <v>0.5</v>
      </c>
      <c r="C21" s="13" t="n">
        <v>0.5</v>
      </c>
      <c r="D21" s="6" t="s">
        <v>113</v>
      </c>
      <c r="F21" s="6" t="s">
        <v>80</v>
      </c>
    </row>
    <row r="22" customFormat="false" ht="15" hidden="false" customHeight="false" outlineLevel="0" collapsed="false">
      <c r="A22" s="6" t="s">
        <v>200</v>
      </c>
      <c r="B22" s="7" t="n">
        <f aca="false">B18*B19*B20</f>
        <v>65</v>
      </c>
      <c r="C22" s="7" t="n">
        <f aca="false">C18*C19*C20</f>
        <v>98</v>
      </c>
      <c r="D22" s="6" t="s">
        <v>113</v>
      </c>
    </row>
    <row r="23" customFormat="false" ht="15" hidden="false" customHeight="false" outlineLevel="0" collapsed="false">
      <c r="A23" s="6" t="s">
        <v>201</v>
      </c>
      <c r="B23" s="7" t="n">
        <f aca="false">B18*B19*B21</f>
        <v>8.125</v>
      </c>
      <c r="C23" s="7" t="n">
        <f aca="false">C18*C19*C21</f>
        <v>12.25</v>
      </c>
      <c r="D23" s="6" t="s">
        <v>113</v>
      </c>
    </row>
    <row r="24" customFormat="false" ht="15" hidden="false" customHeight="false" outlineLevel="0" collapsed="false">
      <c r="A24" s="6" t="s">
        <v>202</v>
      </c>
      <c r="B24" s="13" t="n">
        <v>145</v>
      </c>
      <c r="C24" s="13" t="n">
        <v>145</v>
      </c>
      <c r="D24" s="6" t="s">
        <v>113</v>
      </c>
      <c r="F24" s="6" t="s">
        <v>203</v>
      </c>
    </row>
    <row r="25" customFormat="false" ht="15" hidden="false" customHeight="false" outlineLevel="0" collapsed="false">
      <c r="A25" s="6" t="s">
        <v>204</v>
      </c>
      <c r="B25" s="13" t="n">
        <v>21</v>
      </c>
      <c r="C25" s="13" t="n">
        <v>21</v>
      </c>
      <c r="D25" s="6" t="s">
        <v>113</v>
      </c>
      <c r="F25" s="6" t="s">
        <v>205</v>
      </c>
    </row>
    <row r="26" customFormat="false" ht="15" hidden="false" customHeight="false" outlineLevel="0" collapsed="false">
      <c r="A26" s="6" t="s">
        <v>206</v>
      </c>
      <c r="B26" s="9" t="n">
        <f aca="false">B22/B24</f>
        <v>0.448275862068966</v>
      </c>
      <c r="C26" s="9" t="n">
        <f aca="false">C22/C24</f>
        <v>0.675862068965517</v>
      </c>
    </row>
    <row r="27" customFormat="false" ht="15" hidden="false" customHeight="false" outlineLevel="0" collapsed="false">
      <c r="A27" s="6" t="s">
        <v>207</v>
      </c>
      <c r="B27" s="9" t="n">
        <f aca="false">B23/B25</f>
        <v>0.386904761904762</v>
      </c>
      <c r="C27" s="9" t="n">
        <f aca="false">C23/C25</f>
        <v>0.583333333333333</v>
      </c>
    </row>
    <row r="28" customFormat="false" ht="15" hidden="false" customHeight="false" outlineLevel="0" collapsed="false">
      <c r="A28" s="6" t="s">
        <v>208</v>
      </c>
      <c r="B28" s="13" t="n">
        <v>25</v>
      </c>
      <c r="C28" s="13" t="n">
        <v>25</v>
      </c>
      <c r="F28" s="6" t="s">
        <v>80</v>
      </c>
    </row>
    <row r="29" customFormat="false" ht="15" hidden="false" customHeight="false" outlineLevel="0" collapsed="false">
      <c r="A29" s="6" t="s">
        <v>209</v>
      </c>
      <c r="B29" s="20" t="n">
        <f aca="false">B18*B28/1000</f>
        <v>1.625</v>
      </c>
      <c r="C29" s="20" t="n">
        <f aca="false">C18*C28/1000</f>
        <v>2.45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1" t="s">
        <v>210</v>
      </c>
    </row>
    <row r="2" customFormat="false" ht="15" hidden="false" customHeight="false" outlineLevel="0" collapsed="false">
      <c r="A2" s="2" t="s">
        <v>211</v>
      </c>
    </row>
    <row r="4" customFormat="false" ht="23.85" hidden="false" customHeight="false" outlineLevel="0" collapsed="false">
      <c r="A4" s="3" t="s">
        <v>146</v>
      </c>
      <c r="B4" s="3" t="s">
        <v>212</v>
      </c>
      <c r="C4" s="3" t="s">
        <v>213</v>
      </c>
      <c r="D4" s="3" t="s">
        <v>214</v>
      </c>
      <c r="E4" s="3" t="s">
        <v>215</v>
      </c>
      <c r="F4" s="3" t="s">
        <v>216</v>
      </c>
      <c r="G4" s="3"/>
    </row>
    <row r="5" customFormat="false" ht="15" hidden="false" customHeight="false" outlineLevel="0" collapsed="false">
      <c r="A5" s="6" t="s">
        <v>175</v>
      </c>
      <c r="B5" s="13" t="n">
        <v>5745</v>
      </c>
      <c r="C5" s="13" t="n">
        <v>20</v>
      </c>
      <c r="D5" s="13" t="n">
        <v>150</v>
      </c>
      <c r="E5" s="6" t="s">
        <v>217</v>
      </c>
      <c r="F5" s="6" t="s">
        <v>218</v>
      </c>
    </row>
    <row r="6" customFormat="false" ht="15" hidden="false" customHeight="false" outlineLevel="0" collapsed="false">
      <c r="A6" s="6" t="s">
        <v>177</v>
      </c>
      <c r="B6" s="13" t="n">
        <v>5785</v>
      </c>
      <c r="C6" s="13" t="n">
        <v>20</v>
      </c>
      <c r="D6" s="13" t="n">
        <v>270</v>
      </c>
      <c r="E6" s="6" t="s">
        <v>217</v>
      </c>
      <c r="F6" s="6" t="s">
        <v>218</v>
      </c>
      <c r="I6" s="4" t="s">
        <v>219</v>
      </c>
    </row>
    <row r="7" customFormat="false" ht="15" hidden="false" customHeight="false" outlineLevel="0" collapsed="false">
      <c r="A7" s="6" t="s">
        <v>178</v>
      </c>
      <c r="B7" s="13" t="n">
        <v>5825</v>
      </c>
      <c r="C7" s="13" t="n">
        <v>20</v>
      </c>
      <c r="D7" s="13" t="n">
        <v>30</v>
      </c>
      <c r="E7" s="6" t="s">
        <v>217</v>
      </c>
      <c r="F7" s="6" t="s">
        <v>218</v>
      </c>
      <c r="I7" s="6" t="s">
        <v>220</v>
      </c>
      <c r="J7" s="7" t="n">
        <f aca="false">MIN(C11:C119)</f>
        <v>-0</v>
      </c>
    </row>
    <row r="8" customFormat="false" ht="15" hidden="false" customHeight="false" outlineLevel="0" collapsed="false">
      <c r="I8" s="6" t="s">
        <v>221</v>
      </c>
      <c r="J8" s="7" t="n">
        <f aca="false">MEDIAN(C11:C119)</f>
        <v>8</v>
      </c>
    </row>
    <row r="9" customFormat="false" ht="15" hidden="false" customHeight="false" outlineLevel="0" collapsed="false">
      <c r="I9" s="6" t="s">
        <v>222</v>
      </c>
      <c r="J9" s="6" t="n">
        <f aca="false">COUNTIF(D11:D119,"ninguno")</f>
        <v>0</v>
      </c>
    </row>
    <row r="10" customFormat="false" ht="23.85" hidden="false" customHeight="false" outlineLevel="0" collapsed="false">
      <c r="A10" s="3" t="s">
        <v>141</v>
      </c>
      <c r="B10" s="3" t="s">
        <v>146</v>
      </c>
      <c r="C10" s="3" t="s">
        <v>223</v>
      </c>
      <c r="D10" s="3" t="s">
        <v>224</v>
      </c>
      <c r="E10" s="3" t="s">
        <v>225</v>
      </c>
      <c r="F10" s="3" t="s">
        <v>226</v>
      </c>
      <c r="G10" s="3" t="s">
        <v>227</v>
      </c>
      <c r="I10" s="6" t="s">
        <v>228</v>
      </c>
      <c r="J10" s="6" t="n">
        <f aca="false">COUNTIF(F11:F119,"ninguno")</f>
        <v>40</v>
      </c>
    </row>
    <row r="11" customFormat="false" ht="15" hidden="false" customHeight="false" outlineLevel="0" collapsed="false">
      <c r="A11" s="13" t="n">
        <v>1</v>
      </c>
      <c r="B11" s="13" t="s">
        <v>177</v>
      </c>
      <c r="C11" s="13" t="n">
        <v>6.5</v>
      </c>
      <c r="D11" s="13" t="s">
        <v>137</v>
      </c>
      <c r="E11" s="13" t="n">
        <v>173.3</v>
      </c>
      <c r="F11" s="13" t="s">
        <v>130</v>
      </c>
      <c r="G11" s="13" t="n">
        <v>28.9</v>
      </c>
    </row>
    <row r="12" customFormat="false" ht="15" hidden="false" customHeight="false" outlineLevel="0" collapsed="false">
      <c r="A12" s="13" t="n">
        <v>2</v>
      </c>
      <c r="B12" s="13" t="s">
        <v>177</v>
      </c>
      <c r="C12" s="13" t="n">
        <v>4.2</v>
      </c>
      <c r="D12" s="13" t="s">
        <v>136</v>
      </c>
      <c r="E12" s="13" t="n">
        <v>144.4</v>
      </c>
      <c r="F12" s="13" t="s">
        <v>229</v>
      </c>
      <c r="G12" s="13" t="n">
        <v>0</v>
      </c>
    </row>
    <row r="13" customFormat="false" ht="15" hidden="false" customHeight="false" outlineLevel="0" collapsed="false">
      <c r="A13" s="13" t="n">
        <v>3</v>
      </c>
      <c r="B13" s="13" t="s">
        <v>177</v>
      </c>
      <c r="C13" s="13" t="n">
        <v>1.6</v>
      </c>
      <c r="D13" s="13" t="s">
        <v>135</v>
      </c>
      <c r="E13" s="13" t="n">
        <v>130</v>
      </c>
      <c r="F13" s="13" t="s">
        <v>229</v>
      </c>
      <c r="G13" s="13" t="n">
        <v>0</v>
      </c>
    </row>
    <row r="14" customFormat="false" ht="15" hidden="false" customHeight="false" outlineLevel="0" collapsed="false">
      <c r="A14" s="13" t="n">
        <v>4</v>
      </c>
      <c r="B14" s="13" t="s">
        <v>175</v>
      </c>
      <c r="C14" s="13" t="n">
        <v>0.2</v>
      </c>
      <c r="D14" s="13" t="s">
        <v>136</v>
      </c>
      <c r="E14" s="13" t="n">
        <v>144.4</v>
      </c>
      <c r="F14" s="13" t="s">
        <v>229</v>
      </c>
      <c r="G14" s="13" t="n">
        <v>0</v>
      </c>
    </row>
    <row r="15" customFormat="false" ht="15" hidden="false" customHeight="false" outlineLevel="0" collapsed="false">
      <c r="A15" s="13" t="n">
        <v>5</v>
      </c>
      <c r="B15" s="13" t="s">
        <v>177</v>
      </c>
      <c r="C15" s="13" t="n">
        <v>7</v>
      </c>
      <c r="D15" s="13" t="s">
        <v>135</v>
      </c>
      <c r="E15" s="13" t="n">
        <v>130</v>
      </c>
      <c r="F15" s="13" t="s">
        <v>130</v>
      </c>
      <c r="G15" s="13" t="n">
        <v>28.9</v>
      </c>
    </row>
    <row r="16" customFormat="false" ht="15" hidden="false" customHeight="false" outlineLevel="0" collapsed="false">
      <c r="A16" s="13" t="n">
        <v>6</v>
      </c>
      <c r="B16" s="13" t="s">
        <v>177</v>
      </c>
      <c r="C16" s="13" t="n">
        <v>8.9</v>
      </c>
      <c r="D16" s="13" t="s">
        <v>135</v>
      </c>
      <c r="E16" s="13" t="n">
        <v>130</v>
      </c>
      <c r="F16" s="13" t="s">
        <v>130</v>
      </c>
      <c r="G16" s="13" t="n">
        <v>28.9</v>
      </c>
    </row>
    <row r="17" customFormat="false" ht="15" hidden="false" customHeight="false" outlineLevel="0" collapsed="false">
      <c r="A17" s="13" t="n">
        <v>7</v>
      </c>
      <c r="B17" s="13" t="s">
        <v>177</v>
      </c>
      <c r="C17" s="13" t="n">
        <v>10.2</v>
      </c>
      <c r="D17" s="13" t="s">
        <v>136</v>
      </c>
      <c r="E17" s="13" t="n">
        <v>144.4</v>
      </c>
      <c r="F17" s="13" t="s">
        <v>131</v>
      </c>
      <c r="G17" s="13" t="n">
        <v>43.3</v>
      </c>
    </row>
    <row r="18" customFormat="false" ht="15" hidden="false" customHeight="false" outlineLevel="0" collapsed="false">
      <c r="A18" s="13" t="n">
        <v>8</v>
      </c>
      <c r="B18" s="13" t="s">
        <v>177</v>
      </c>
      <c r="C18" s="13" t="n">
        <v>12.6</v>
      </c>
      <c r="D18" s="13" t="s">
        <v>136</v>
      </c>
      <c r="E18" s="13" t="n">
        <v>144.4</v>
      </c>
      <c r="F18" s="13" t="s">
        <v>132</v>
      </c>
      <c r="G18" s="13" t="n">
        <v>57.8</v>
      </c>
    </row>
    <row r="19" customFormat="false" ht="15" hidden="false" customHeight="false" outlineLevel="0" collapsed="false">
      <c r="A19" s="13" t="n">
        <v>9</v>
      </c>
      <c r="B19" s="13" t="s">
        <v>177</v>
      </c>
      <c r="C19" s="13" t="n">
        <v>12</v>
      </c>
      <c r="D19" s="13" t="s">
        <v>136</v>
      </c>
      <c r="E19" s="13" t="n">
        <v>144.4</v>
      </c>
      <c r="F19" s="13" t="s">
        <v>132</v>
      </c>
      <c r="G19" s="13" t="n">
        <v>57.8</v>
      </c>
    </row>
    <row r="20" customFormat="false" ht="15" hidden="false" customHeight="false" outlineLevel="0" collapsed="false">
      <c r="A20" s="13" t="n">
        <v>10</v>
      </c>
      <c r="B20" s="13" t="s">
        <v>177</v>
      </c>
      <c r="C20" s="13" t="n">
        <v>13.3</v>
      </c>
      <c r="D20" s="13" t="s">
        <v>136</v>
      </c>
      <c r="E20" s="13" t="n">
        <v>144.4</v>
      </c>
      <c r="F20" s="13" t="s">
        <v>132</v>
      </c>
      <c r="G20" s="13" t="n">
        <v>57.8</v>
      </c>
    </row>
    <row r="21" customFormat="false" ht="15" hidden="false" customHeight="false" outlineLevel="0" collapsed="false">
      <c r="A21" s="13" t="n">
        <v>11</v>
      </c>
      <c r="B21" s="13" t="s">
        <v>177</v>
      </c>
      <c r="C21" s="13" t="n">
        <v>13.7</v>
      </c>
      <c r="D21" s="13" t="s">
        <v>137</v>
      </c>
      <c r="E21" s="13" t="n">
        <v>173.3</v>
      </c>
      <c r="F21" s="13" t="s">
        <v>132</v>
      </c>
      <c r="G21" s="13" t="n">
        <v>57.8</v>
      </c>
    </row>
    <row r="22" customFormat="false" ht="15" hidden="false" customHeight="false" outlineLevel="0" collapsed="false">
      <c r="A22" s="13" t="n">
        <v>12</v>
      </c>
      <c r="B22" s="13" t="s">
        <v>177</v>
      </c>
      <c r="C22" s="13" t="n">
        <v>14.4</v>
      </c>
      <c r="D22" s="13" t="s">
        <v>136</v>
      </c>
      <c r="E22" s="13" t="n">
        <v>144.4</v>
      </c>
      <c r="F22" s="13" t="s">
        <v>132</v>
      </c>
      <c r="G22" s="13" t="n">
        <v>57.8</v>
      </c>
    </row>
    <row r="23" customFormat="false" ht="15" hidden="false" customHeight="false" outlineLevel="0" collapsed="false">
      <c r="A23" s="13" t="n">
        <v>13</v>
      </c>
      <c r="B23" s="13" t="s">
        <v>177</v>
      </c>
      <c r="C23" s="13" t="n">
        <v>11.6</v>
      </c>
      <c r="D23" s="13" t="s">
        <v>136</v>
      </c>
      <c r="E23" s="13" t="n">
        <v>144.4</v>
      </c>
      <c r="F23" s="13" t="s">
        <v>132</v>
      </c>
      <c r="G23" s="13" t="n">
        <v>57.8</v>
      </c>
    </row>
    <row r="24" customFormat="false" ht="15" hidden="false" customHeight="false" outlineLevel="0" collapsed="false">
      <c r="A24" s="13" t="n">
        <v>14</v>
      </c>
      <c r="B24" s="13" t="s">
        <v>177</v>
      </c>
      <c r="C24" s="13" t="n">
        <v>13.4</v>
      </c>
      <c r="D24" s="13" t="s">
        <v>138</v>
      </c>
      <c r="E24" s="13" t="n">
        <v>192.6</v>
      </c>
      <c r="F24" s="13" t="s">
        <v>132</v>
      </c>
      <c r="G24" s="13" t="n">
        <v>57.8</v>
      </c>
    </row>
    <row r="25" customFormat="false" ht="15" hidden="false" customHeight="false" outlineLevel="0" collapsed="false">
      <c r="A25" s="13" t="n">
        <v>15</v>
      </c>
      <c r="B25" s="13" t="s">
        <v>177</v>
      </c>
      <c r="C25" s="13" t="n">
        <v>15.3</v>
      </c>
      <c r="D25" s="13" t="s">
        <v>138</v>
      </c>
      <c r="E25" s="13" t="n">
        <v>192.6</v>
      </c>
      <c r="F25" s="13" t="s">
        <v>133</v>
      </c>
      <c r="G25" s="13" t="n">
        <v>86.7</v>
      </c>
    </row>
    <row r="26" customFormat="false" ht="15" hidden="false" customHeight="false" outlineLevel="0" collapsed="false">
      <c r="A26" s="13" t="n">
        <v>16</v>
      </c>
      <c r="B26" s="13" t="s">
        <v>177</v>
      </c>
      <c r="C26" s="13" t="n">
        <v>14.8</v>
      </c>
      <c r="D26" s="13" t="s">
        <v>137</v>
      </c>
      <c r="E26" s="13" t="n">
        <v>173.3</v>
      </c>
      <c r="F26" s="13" t="s">
        <v>132</v>
      </c>
      <c r="G26" s="13" t="n">
        <v>57.8</v>
      </c>
    </row>
    <row r="27" customFormat="false" ht="15" hidden="false" customHeight="false" outlineLevel="0" collapsed="false">
      <c r="A27" s="13" t="n">
        <v>17</v>
      </c>
      <c r="B27" s="13" t="s">
        <v>177</v>
      </c>
      <c r="C27" s="13" t="n">
        <v>12.3</v>
      </c>
      <c r="D27" s="13" t="s">
        <v>138</v>
      </c>
      <c r="E27" s="13" t="n">
        <v>192.6</v>
      </c>
      <c r="F27" s="13" t="s">
        <v>132</v>
      </c>
      <c r="G27" s="13" t="n">
        <v>57.8</v>
      </c>
    </row>
    <row r="28" customFormat="false" ht="15" hidden="false" customHeight="false" outlineLevel="0" collapsed="false">
      <c r="A28" s="13" t="n">
        <v>18</v>
      </c>
      <c r="B28" s="13" t="s">
        <v>177</v>
      </c>
      <c r="C28" s="13" t="n">
        <v>14.4</v>
      </c>
      <c r="D28" s="13" t="s">
        <v>136</v>
      </c>
      <c r="E28" s="13" t="n">
        <v>144.4</v>
      </c>
      <c r="F28" s="13" t="s">
        <v>132</v>
      </c>
      <c r="G28" s="13" t="n">
        <v>57.8</v>
      </c>
    </row>
    <row r="29" customFormat="false" ht="15" hidden="false" customHeight="false" outlineLevel="0" collapsed="false">
      <c r="A29" s="13" t="n">
        <v>19</v>
      </c>
      <c r="B29" s="13" t="s">
        <v>177</v>
      </c>
      <c r="C29" s="13" t="n">
        <v>14.3</v>
      </c>
      <c r="D29" s="13" t="s">
        <v>137</v>
      </c>
      <c r="E29" s="13" t="n">
        <v>173.3</v>
      </c>
      <c r="F29" s="13" t="s">
        <v>132</v>
      </c>
      <c r="G29" s="13" t="n">
        <v>57.8</v>
      </c>
    </row>
    <row r="30" customFormat="false" ht="15" hidden="false" customHeight="false" outlineLevel="0" collapsed="false">
      <c r="A30" s="13" t="n">
        <v>20</v>
      </c>
      <c r="B30" s="13" t="s">
        <v>177</v>
      </c>
      <c r="C30" s="13" t="n">
        <v>14.1</v>
      </c>
      <c r="D30" s="13" t="s">
        <v>137</v>
      </c>
      <c r="E30" s="13" t="n">
        <v>173.3</v>
      </c>
      <c r="F30" s="13" t="s">
        <v>132</v>
      </c>
      <c r="G30" s="13" t="n">
        <v>57.8</v>
      </c>
    </row>
    <row r="31" customFormat="false" ht="15" hidden="false" customHeight="false" outlineLevel="0" collapsed="false">
      <c r="A31" s="13" t="n">
        <v>21</v>
      </c>
      <c r="B31" s="13" t="s">
        <v>177</v>
      </c>
      <c r="C31" s="13" t="n">
        <v>14.2</v>
      </c>
      <c r="D31" s="13" t="s">
        <v>138</v>
      </c>
      <c r="E31" s="13" t="n">
        <v>192.6</v>
      </c>
      <c r="F31" s="13" t="s">
        <v>132</v>
      </c>
      <c r="G31" s="13" t="n">
        <v>57.8</v>
      </c>
    </row>
    <row r="32" customFormat="false" ht="15" hidden="false" customHeight="false" outlineLevel="0" collapsed="false">
      <c r="A32" s="13" t="n">
        <v>22</v>
      </c>
      <c r="B32" s="13" t="s">
        <v>177</v>
      </c>
      <c r="C32" s="13" t="n">
        <v>14.3</v>
      </c>
      <c r="D32" s="13" t="s">
        <v>138</v>
      </c>
      <c r="E32" s="13" t="n">
        <v>192.6</v>
      </c>
      <c r="F32" s="13" t="s">
        <v>132</v>
      </c>
      <c r="G32" s="13" t="n">
        <v>57.8</v>
      </c>
    </row>
    <row r="33" customFormat="false" ht="15" hidden="false" customHeight="false" outlineLevel="0" collapsed="false">
      <c r="A33" s="13" t="n">
        <v>23</v>
      </c>
      <c r="B33" s="13" t="s">
        <v>177</v>
      </c>
      <c r="C33" s="13" t="n">
        <v>13.2</v>
      </c>
      <c r="D33" s="13" t="s">
        <v>136</v>
      </c>
      <c r="E33" s="13" t="n">
        <v>144.4</v>
      </c>
      <c r="F33" s="13" t="s">
        <v>132</v>
      </c>
      <c r="G33" s="13" t="n">
        <v>57.8</v>
      </c>
    </row>
    <row r="34" customFormat="false" ht="15" hidden="false" customHeight="false" outlineLevel="0" collapsed="false">
      <c r="A34" s="13" t="n">
        <v>24</v>
      </c>
      <c r="B34" s="13" t="s">
        <v>177</v>
      </c>
      <c r="C34" s="13" t="n">
        <v>14.5</v>
      </c>
      <c r="D34" s="13" t="s">
        <v>135</v>
      </c>
      <c r="E34" s="13" t="n">
        <v>130</v>
      </c>
      <c r="F34" s="13" t="s">
        <v>132</v>
      </c>
      <c r="G34" s="13" t="n">
        <v>57.8</v>
      </c>
    </row>
    <row r="35" customFormat="false" ht="15" hidden="false" customHeight="false" outlineLevel="0" collapsed="false">
      <c r="A35" s="13" t="n">
        <v>25</v>
      </c>
      <c r="B35" s="13" t="s">
        <v>177</v>
      </c>
      <c r="C35" s="13" t="n">
        <v>14.1</v>
      </c>
      <c r="D35" s="13" t="s">
        <v>137</v>
      </c>
      <c r="E35" s="13" t="n">
        <v>173.3</v>
      </c>
      <c r="F35" s="13" t="s">
        <v>132</v>
      </c>
      <c r="G35" s="13" t="n">
        <v>57.8</v>
      </c>
    </row>
    <row r="36" customFormat="false" ht="15" hidden="false" customHeight="false" outlineLevel="0" collapsed="false">
      <c r="A36" s="13" t="n">
        <v>26</v>
      </c>
      <c r="B36" s="13" t="s">
        <v>177</v>
      </c>
      <c r="C36" s="13" t="n">
        <v>15</v>
      </c>
      <c r="D36" s="13" t="s">
        <v>132</v>
      </c>
      <c r="E36" s="13" t="n">
        <v>57.8</v>
      </c>
      <c r="F36" s="13" t="s">
        <v>132</v>
      </c>
      <c r="G36" s="13" t="n">
        <v>57.8</v>
      </c>
    </row>
    <row r="37" customFormat="false" ht="15" hidden="false" customHeight="false" outlineLevel="0" collapsed="false">
      <c r="A37" s="13" t="n">
        <v>27</v>
      </c>
      <c r="B37" s="13" t="s">
        <v>177</v>
      </c>
      <c r="C37" s="13" t="n">
        <v>15.4</v>
      </c>
      <c r="D37" s="13" t="s">
        <v>133</v>
      </c>
      <c r="E37" s="13" t="n">
        <v>86.7</v>
      </c>
      <c r="F37" s="13" t="s">
        <v>132</v>
      </c>
      <c r="G37" s="13" t="n">
        <v>57.8</v>
      </c>
    </row>
    <row r="38" customFormat="false" ht="15" hidden="false" customHeight="false" outlineLevel="0" collapsed="false">
      <c r="A38" s="13" t="n">
        <v>28</v>
      </c>
      <c r="B38" s="13" t="s">
        <v>177</v>
      </c>
      <c r="C38" s="13" t="n">
        <v>13.3</v>
      </c>
      <c r="D38" s="13" t="s">
        <v>138</v>
      </c>
      <c r="E38" s="13" t="n">
        <v>192.6</v>
      </c>
      <c r="F38" s="13" t="s">
        <v>132</v>
      </c>
      <c r="G38" s="13" t="n">
        <v>57.8</v>
      </c>
    </row>
    <row r="39" customFormat="false" ht="15" hidden="false" customHeight="false" outlineLevel="0" collapsed="false">
      <c r="A39" s="13" t="n">
        <v>29</v>
      </c>
      <c r="B39" s="13" t="s">
        <v>177</v>
      </c>
      <c r="C39" s="13" t="n">
        <v>12.5</v>
      </c>
      <c r="D39" s="13" t="s">
        <v>136</v>
      </c>
      <c r="E39" s="13" t="n">
        <v>144.4</v>
      </c>
      <c r="F39" s="13" t="s">
        <v>132</v>
      </c>
      <c r="G39" s="13" t="n">
        <v>57.8</v>
      </c>
    </row>
    <row r="40" customFormat="false" ht="15" hidden="false" customHeight="false" outlineLevel="0" collapsed="false">
      <c r="A40" s="13" t="n">
        <v>30</v>
      </c>
      <c r="B40" s="13" t="s">
        <v>177</v>
      </c>
      <c r="C40" s="13" t="n">
        <v>12.1</v>
      </c>
      <c r="D40" s="13" t="s">
        <v>134</v>
      </c>
      <c r="E40" s="13" t="n">
        <v>115.6</v>
      </c>
      <c r="F40" s="13" t="s">
        <v>132</v>
      </c>
      <c r="G40" s="13" t="n">
        <v>57.8</v>
      </c>
    </row>
    <row r="41" customFormat="false" ht="15" hidden="false" customHeight="false" outlineLevel="0" collapsed="false">
      <c r="A41" s="13" t="n">
        <v>31</v>
      </c>
      <c r="B41" s="13" t="s">
        <v>177</v>
      </c>
      <c r="C41" s="13" t="n">
        <v>10.9</v>
      </c>
      <c r="D41" s="13" t="s">
        <v>136</v>
      </c>
      <c r="E41" s="13" t="n">
        <v>144.4</v>
      </c>
      <c r="F41" s="13" t="s">
        <v>131</v>
      </c>
      <c r="G41" s="13" t="n">
        <v>43.3</v>
      </c>
    </row>
    <row r="42" customFormat="false" ht="15" hidden="false" customHeight="false" outlineLevel="0" collapsed="false">
      <c r="A42" s="13" t="n">
        <v>32</v>
      </c>
      <c r="B42" s="13" t="s">
        <v>177</v>
      </c>
      <c r="C42" s="13" t="n">
        <v>11</v>
      </c>
      <c r="D42" s="13" t="s">
        <v>136</v>
      </c>
      <c r="E42" s="13" t="n">
        <v>144.4</v>
      </c>
      <c r="F42" s="13" t="s">
        <v>131</v>
      </c>
      <c r="G42" s="13" t="n">
        <v>43.3</v>
      </c>
    </row>
    <row r="43" customFormat="false" ht="15" hidden="false" customHeight="false" outlineLevel="0" collapsed="false">
      <c r="A43" s="13" t="n">
        <v>33</v>
      </c>
      <c r="B43" s="13" t="s">
        <v>177</v>
      </c>
      <c r="C43" s="13" t="n">
        <v>10.8</v>
      </c>
      <c r="D43" s="13" t="s">
        <v>136</v>
      </c>
      <c r="E43" s="13" t="n">
        <v>144.4</v>
      </c>
      <c r="F43" s="13" t="s">
        <v>131</v>
      </c>
      <c r="G43" s="13" t="n">
        <v>43.3</v>
      </c>
    </row>
    <row r="44" customFormat="false" ht="15" hidden="false" customHeight="false" outlineLevel="0" collapsed="false">
      <c r="A44" s="13" t="n">
        <v>34</v>
      </c>
      <c r="B44" s="13" t="s">
        <v>177</v>
      </c>
      <c r="C44" s="13" t="n">
        <v>8</v>
      </c>
      <c r="D44" s="13" t="s">
        <v>138</v>
      </c>
      <c r="E44" s="13" t="n">
        <v>192.6</v>
      </c>
      <c r="F44" s="13" t="s">
        <v>130</v>
      </c>
      <c r="G44" s="13" t="n">
        <v>28.9</v>
      </c>
    </row>
    <row r="45" customFormat="false" ht="15" hidden="false" customHeight="false" outlineLevel="0" collapsed="false">
      <c r="A45" s="13" t="n">
        <v>35</v>
      </c>
      <c r="B45" s="13" t="s">
        <v>177</v>
      </c>
      <c r="C45" s="13" t="n">
        <v>7.8</v>
      </c>
      <c r="D45" s="13" t="s">
        <v>138</v>
      </c>
      <c r="E45" s="13" t="n">
        <v>192.6</v>
      </c>
      <c r="F45" s="13" t="s">
        <v>130</v>
      </c>
      <c r="G45" s="13" t="n">
        <v>28.9</v>
      </c>
    </row>
    <row r="46" customFormat="false" ht="15" hidden="false" customHeight="false" outlineLevel="0" collapsed="false">
      <c r="A46" s="13" t="n">
        <v>36</v>
      </c>
      <c r="B46" s="13" t="s">
        <v>177</v>
      </c>
      <c r="C46" s="13" t="n">
        <v>10.8</v>
      </c>
      <c r="D46" s="13" t="s">
        <v>138</v>
      </c>
      <c r="E46" s="13" t="n">
        <v>192.6</v>
      </c>
      <c r="F46" s="13" t="s">
        <v>131</v>
      </c>
      <c r="G46" s="13" t="n">
        <v>43.3</v>
      </c>
    </row>
    <row r="47" customFormat="false" ht="15" hidden="false" customHeight="false" outlineLevel="0" collapsed="false">
      <c r="A47" s="13" t="n">
        <v>37</v>
      </c>
      <c r="B47" s="13" t="s">
        <v>177</v>
      </c>
      <c r="C47" s="13" t="n">
        <v>9.9</v>
      </c>
      <c r="D47" s="13" t="s">
        <v>138</v>
      </c>
      <c r="E47" s="13" t="n">
        <v>192.6</v>
      </c>
      <c r="F47" s="13" t="s">
        <v>131</v>
      </c>
      <c r="G47" s="13" t="n">
        <v>43.3</v>
      </c>
    </row>
    <row r="48" customFormat="false" ht="15" hidden="false" customHeight="false" outlineLevel="0" collapsed="false">
      <c r="A48" s="13" t="n">
        <v>38</v>
      </c>
      <c r="B48" s="13" t="s">
        <v>177</v>
      </c>
      <c r="C48" s="13" t="n">
        <v>9</v>
      </c>
      <c r="D48" s="13" t="s">
        <v>137</v>
      </c>
      <c r="E48" s="13" t="n">
        <v>173.3</v>
      </c>
      <c r="F48" s="13" t="s">
        <v>131</v>
      </c>
      <c r="G48" s="13" t="n">
        <v>43.3</v>
      </c>
    </row>
    <row r="49" customFormat="false" ht="15" hidden="false" customHeight="false" outlineLevel="0" collapsed="false">
      <c r="A49" s="13" t="n">
        <v>39</v>
      </c>
      <c r="B49" s="13" t="s">
        <v>177</v>
      </c>
      <c r="C49" s="13" t="n">
        <v>7.8</v>
      </c>
      <c r="D49" s="13" t="s">
        <v>138</v>
      </c>
      <c r="E49" s="13" t="n">
        <v>192.6</v>
      </c>
      <c r="F49" s="13" t="s">
        <v>130</v>
      </c>
      <c r="G49" s="13" t="n">
        <v>28.9</v>
      </c>
    </row>
    <row r="50" customFormat="false" ht="15" hidden="false" customHeight="false" outlineLevel="0" collapsed="false">
      <c r="A50" s="13" t="n">
        <v>40</v>
      </c>
      <c r="B50" s="13" t="s">
        <v>177</v>
      </c>
      <c r="C50" s="13" t="n">
        <v>11.8</v>
      </c>
      <c r="D50" s="13" t="s">
        <v>138</v>
      </c>
      <c r="E50" s="13" t="n">
        <v>192.6</v>
      </c>
      <c r="F50" s="13" t="s">
        <v>132</v>
      </c>
      <c r="G50" s="13" t="n">
        <v>57.8</v>
      </c>
    </row>
    <row r="51" customFormat="false" ht="15" hidden="false" customHeight="false" outlineLevel="0" collapsed="false">
      <c r="A51" s="13" t="n">
        <v>41</v>
      </c>
      <c r="B51" s="13" t="s">
        <v>178</v>
      </c>
      <c r="C51" s="13" t="n">
        <v>3</v>
      </c>
      <c r="D51" s="13" t="s">
        <v>137</v>
      </c>
      <c r="E51" s="13" t="n">
        <v>173.3</v>
      </c>
      <c r="F51" s="13" t="s">
        <v>229</v>
      </c>
      <c r="G51" s="13" t="n">
        <v>0</v>
      </c>
    </row>
    <row r="52" customFormat="false" ht="15" hidden="false" customHeight="false" outlineLevel="0" collapsed="false">
      <c r="A52" s="13" t="n">
        <v>42</v>
      </c>
      <c r="B52" s="13" t="s">
        <v>178</v>
      </c>
      <c r="C52" s="13" t="n">
        <v>3</v>
      </c>
      <c r="D52" s="13" t="s">
        <v>137</v>
      </c>
      <c r="E52" s="13" t="n">
        <v>173.3</v>
      </c>
      <c r="F52" s="13" t="s">
        <v>229</v>
      </c>
      <c r="G52" s="13" t="n">
        <v>0</v>
      </c>
    </row>
    <row r="53" customFormat="false" ht="15" hidden="false" customHeight="false" outlineLevel="0" collapsed="false">
      <c r="A53" s="13" t="n">
        <v>43</v>
      </c>
      <c r="B53" s="13" t="s">
        <v>178</v>
      </c>
      <c r="C53" s="13" t="n">
        <v>12.2</v>
      </c>
      <c r="D53" s="13" t="s">
        <v>138</v>
      </c>
      <c r="E53" s="13" t="n">
        <v>192.6</v>
      </c>
      <c r="F53" s="13" t="s">
        <v>132</v>
      </c>
      <c r="G53" s="13" t="n">
        <v>57.8</v>
      </c>
    </row>
    <row r="54" customFormat="false" ht="15" hidden="false" customHeight="false" outlineLevel="0" collapsed="false">
      <c r="A54" s="13" t="n">
        <v>44</v>
      </c>
      <c r="B54" s="13" t="s">
        <v>178</v>
      </c>
      <c r="C54" s="13" t="n">
        <v>11.7</v>
      </c>
      <c r="D54" s="13" t="s">
        <v>138</v>
      </c>
      <c r="E54" s="13" t="n">
        <v>192.6</v>
      </c>
      <c r="F54" s="13" t="s">
        <v>132</v>
      </c>
      <c r="G54" s="13" t="n">
        <v>57.8</v>
      </c>
    </row>
    <row r="55" customFormat="false" ht="15" hidden="false" customHeight="false" outlineLevel="0" collapsed="false">
      <c r="A55" s="13" t="n">
        <v>45</v>
      </c>
      <c r="B55" s="13" t="s">
        <v>178</v>
      </c>
      <c r="C55" s="13" t="n">
        <v>11.5</v>
      </c>
      <c r="D55" s="13" t="s">
        <v>138</v>
      </c>
      <c r="E55" s="13" t="n">
        <v>192.6</v>
      </c>
      <c r="F55" s="13" t="s">
        <v>132</v>
      </c>
      <c r="G55" s="13" t="n">
        <v>57.8</v>
      </c>
    </row>
    <row r="56" customFormat="false" ht="15" hidden="false" customHeight="false" outlineLevel="0" collapsed="false">
      <c r="A56" s="13" t="n">
        <v>46</v>
      </c>
      <c r="B56" s="13" t="s">
        <v>178</v>
      </c>
      <c r="C56" s="13" t="n">
        <v>14.6</v>
      </c>
      <c r="D56" s="13" t="s">
        <v>138</v>
      </c>
      <c r="E56" s="13" t="n">
        <v>192.6</v>
      </c>
      <c r="F56" s="13" t="s">
        <v>132</v>
      </c>
      <c r="G56" s="13" t="n">
        <v>57.8</v>
      </c>
    </row>
    <row r="57" customFormat="false" ht="15" hidden="false" customHeight="false" outlineLevel="0" collapsed="false">
      <c r="A57" s="13" t="n">
        <v>47</v>
      </c>
      <c r="B57" s="13" t="s">
        <v>178</v>
      </c>
      <c r="C57" s="13" t="n">
        <v>15.3</v>
      </c>
      <c r="D57" s="13" t="s">
        <v>138</v>
      </c>
      <c r="E57" s="13" t="n">
        <v>192.6</v>
      </c>
      <c r="F57" s="13" t="s">
        <v>133</v>
      </c>
      <c r="G57" s="13" t="n">
        <v>86.7</v>
      </c>
    </row>
    <row r="58" customFormat="false" ht="15" hidden="false" customHeight="false" outlineLevel="0" collapsed="false">
      <c r="A58" s="13" t="n">
        <v>48</v>
      </c>
      <c r="B58" s="13" t="s">
        <v>178</v>
      </c>
      <c r="C58" s="13" t="n">
        <v>15.4</v>
      </c>
      <c r="D58" s="13" t="s">
        <v>138</v>
      </c>
      <c r="E58" s="13" t="n">
        <v>192.6</v>
      </c>
      <c r="F58" s="13" t="s">
        <v>133</v>
      </c>
      <c r="G58" s="13" t="n">
        <v>86.7</v>
      </c>
    </row>
    <row r="59" customFormat="false" ht="15" hidden="false" customHeight="false" outlineLevel="0" collapsed="false">
      <c r="A59" s="13" t="n">
        <v>49</v>
      </c>
      <c r="B59" s="13" t="s">
        <v>178</v>
      </c>
      <c r="C59" s="13" t="n">
        <v>13.2</v>
      </c>
      <c r="D59" s="13" t="s">
        <v>137</v>
      </c>
      <c r="E59" s="13" t="n">
        <v>173.3</v>
      </c>
      <c r="F59" s="13" t="s">
        <v>132</v>
      </c>
      <c r="G59" s="13" t="n">
        <v>57.8</v>
      </c>
    </row>
    <row r="60" customFormat="false" ht="15" hidden="false" customHeight="false" outlineLevel="0" collapsed="false">
      <c r="A60" s="13" t="n">
        <v>50</v>
      </c>
      <c r="B60" s="13" t="s">
        <v>178</v>
      </c>
      <c r="C60" s="13" t="n">
        <v>3</v>
      </c>
      <c r="D60" s="13" t="s">
        <v>137</v>
      </c>
      <c r="E60" s="13" t="n">
        <v>173.3</v>
      </c>
      <c r="F60" s="13" t="s">
        <v>229</v>
      </c>
      <c r="G60" s="13" t="n">
        <v>0</v>
      </c>
    </row>
    <row r="61" customFormat="false" ht="15" hidden="false" customHeight="false" outlineLevel="0" collapsed="false">
      <c r="A61" s="13" t="n">
        <v>51</v>
      </c>
      <c r="B61" s="13" t="s">
        <v>178</v>
      </c>
      <c r="C61" s="13" t="n">
        <v>1.8</v>
      </c>
      <c r="D61" s="13" t="s">
        <v>136</v>
      </c>
      <c r="E61" s="13" t="n">
        <v>144.4</v>
      </c>
      <c r="F61" s="13" t="s">
        <v>229</v>
      </c>
      <c r="G61" s="13" t="n">
        <v>0</v>
      </c>
    </row>
    <row r="62" customFormat="false" ht="15" hidden="false" customHeight="false" outlineLevel="0" collapsed="false">
      <c r="A62" s="13" t="n">
        <v>52</v>
      </c>
      <c r="B62" s="13" t="s">
        <v>178</v>
      </c>
      <c r="C62" s="13" t="n">
        <v>7.3</v>
      </c>
      <c r="D62" s="13" t="s">
        <v>138</v>
      </c>
      <c r="E62" s="13" t="n">
        <v>192.6</v>
      </c>
      <c r="F62" s="13" t="s">
        <v>130</v>
      </c>
      <c r="G62" s="13" t="n">
        <v>28.9</v>
      </c>
    </row>
    <row r="63" customFormat="false" ht="15" hidden="false" customHeight="false" outlineLevel="0" collapsed="false">
      <c r="A63" s="13" t="n">
        <v>53</v>
      </c>
      <c r="B63" s="13" t="s">
        <v>178</v>
      </c>
      <c r="C63" s="13" t="n">
        <v>10.4</v>
      </c>
      <c r="D63" s="13" t="s">
        <v>138</v>
      </c>
      <c r="E63" s="13" t="n">
        <v>192.6</v>
      </c>
      <c r="F63" s="13" t="s">
        <v>131</v>
      </c>
      <c r="G63" s="13" t="n">
        <v>43.3</v>
      </c>
    </row>
    <row r="64" customFormat="false" ht="15" hidden="false" customHeight="false" outlineLevel="0" collapsed="false">
      <c r="A64" s="13" t="n">
        <v>54</v>
      </c>
      <c r="B64" s="13" t="s">
        <v>178</v>
      </c>
      <c r="C64" s="13" t="n">
        <v>13.7</v>
      </c>
      <c r="D64" s="13" t="s">
        <v>138</v>
      </c>
      <c r="E64" s="13" t="n">
        <v>192.6</v>
      </c>
      <c r="F64" s="13" t="s">
        <v>132</v>
      </c>
      <c r="G64" s="13" t="n">
        <v>57.8</v>
      </c>
    </row>
    <row r="65" customFormat="false" ht="15" hidden="false" customHeight="false" outlineLevel="0" collapsed="false">
      <c r="A65" s="13" t="n">
        <v>55</v>
      </c>
      <c r="B65" s="13" t="s">
        <v>178</v>
      </c>
      <c r="C65" s="13" t="n">
        <v>13.3</v>
      </c>
      <c r="D65" s="13" t="s">
        <v>138</v>
      </c>
      <c r="E65" s="13" t="n">
        <v>192.6</v>
      </c>
      <c r="F65" s="13" t="s">
        <v>132</v>
      </c>
      <c r="G65" s="13" t="n">
        <v>57.8</v>
      </c>
    </row>
    <row r="66" customFormat="false" ht="15" hidden="false" customHeight="false" outlineLevel="0" collapsed="false">
      <c r="A66" s="13" t="n">
        <v>56</v>
      </c>
      <c r="B66" s="13" t="s">
        <v>178</v>
      </c>
      <c r="C66" s="13" t="n">
        <v>9.6</v>
      </c>
      <c r="D66" s="13" t="s">
        <v>138</v>
      </c>
      <c r="E66" s="13" t="n">
        <v>192.6</v>
      </c>
      <c r="F66" s="13" t="s">
        <v>131</v>
      </c>
      <c r="G66" s="13" t="n">
        <v>43.3</v>
      </c>
    </row>
    <row r="67" customFormat="false" ht="15" hidden="false" customHeight="false" outlineLevel="0" collapsed="false">
      <c r="A67" s="13" t="n">
        <v>57</v>
      </c>
      <c r="B67" s="13" t="s">
        <v>178</v>
      </c>
      <c r="C67" s="13" t="n">
        <v>1.3</v>
      </c>
      <c r="D67" s="13" t="s">
        <v>136</v>
      </c>
      <c r="E67" s="13" t="n">
        <v>144.4</v>
      </c>
      <c r="F67" s="13" t="s">
        <v>229</v>
      </c>
      <c r="G67" s="13" t="n">
        <v>0</v>
      </c>
    </row>
    <row r="68" customFormat="false" ht="15" hidden="false" customHeight="false" outlineLevel="0" collapsed="false">
      <c r="A68" s="13" t="n">
        <v>58</v>
      </c>
      <c r="B68" s="13" t="s">
        <v>175</v>
      </c>
      <c r="C68" s="13" t="n">
        <v>0.4</v>
      </c>
      <c r="D68" s="13" t="s">
        <v>136</v>
      </c>
      <c r="E68" s="13" t="n">
        <v>144.4</v>
      </c>
      <c r="F68" s="13" t="s">
        <v>229</v>
      </c>
      <c r="G68" s="13" t="n">
        <v>0</v>
      </c>
    </row>
    <row r="69" customFormat="false" ht="15" hidden="false" customHeight="false" outlineLevel="0" collapsed="false">
      <c r="A69" s="13" t="n">
        <v>59</v>
      </c>
      <c r="B69" s="13" t="s">
        <v>175</v>
      </c>
      <c r="C69" s="13" t="n">
        <v>5.9</v>
      </c>
      <c r="D69" s="13" t="s">
        <v>137</v>
      </c>
      <c r="E69" s="13" t="n">
        <v>173.3</v>
      </c>
      <c r="F69" s="13" t="s">
        <v>129</v>
      </c>
      <c r="G69" s="13" t="n">
        <v>14.4</v>
      </c>
    </row>
    <row r="70" customFormat="false" ht="15" hidden="false" customHeight="false" outlineLevel="0" collapsed="false">
      <c r="A70" s="13" t="n">
        <v>60</v>
      </c>
      <c r="B70" s="13" t="s">
        <v>175</v>
      </c>
      <c r="C70" s="13" t="n">
        <v>5.7</v>
      </c>
      <c r="D70" s="13" t="s">
        <v>137</v>
      </c>
      <c r="E70" s="13" t="n">
        <v>173.3</v>
      </c>
      <c r="F70" s="13" t="s">
        <v>129</v>
      </c>
      <c r="G70" s="13" t="n">
        <v>14.4</v>
      </c>
    </row>
    <row r="71" customFormat="false" ht="15" hidden="false" customHeight="false" outlineLevel="0" collapsed="false">
      <c r="A71" s="13" t="n">
        <v>61</v>
      </c>
      <c r="B71" s="13" t="s">
        <v>175</v>
      </c>
      <c r="C71" s="13" t="n">
        <v>9.1</v>
      </c>
      <c r="D71" s="13" t="s">
        <v>137</v>
      </c>
      <c r="E71" s="13" t="n">
        <v>173.3</v>
      </c>
      <c r="F71" s="13" t="s">
        <v>131</v>
      </c>
      <c r="G71" s="13" t="n">
        <v>43.3</v>
      </c>
    </row>
    <row r="72" customFormat="false" ht="15" hidden="false" customHeight="false" outlineLevel="0" collapsed="false">
      <c r="A72" s="13" t="n">
        <v>62</v>
      </c>
      <c r="B72" s="13" t="s">
        <v>175</v>
      </c>
      <c r="C72" s="13" t="n">
        <v>12.4</v>
      </c>
      <c r="D72" s="13" t="s">
        <v>136</v>
      </c>
      <c r="E72" s="13" t="n">
        <v>144.4</v>
      </c>
      <c r="F72" s="13" t="s">
        <v>132</v>
      </c>
      <c r="G72" s="13" t="n">
        <v>57.8</v>
      </c>
    </row>
    <row r="73" customFormat="false" ht="15" hidden="false" customHeight="false" outlineLevel="0" collapsed="false">
      <c r="A73" s="13" t="n">
        <v>63</v>
      </c>
      <c r="B73" s="13" t="s">
        <v>175</v>
      </c>
      <c r="C73" s="13" t="n">
        <v>13.3</v>
      </c>
      <c r="D73" s="13" t="s">
        <v>138</v>
      </c>
      <c r="E73" s="13" t="n">
        <v>192.6</v>
      </c>
      <c r="F73" s="13" t="s">
        <v>132</v>
      </c>
      <c r="G73" s="13" t="n">
        <v>57.8</v>
      </c>
    </row>
    <row r="74" customFormat="false" ht="15" hidden="false" customHeight="false" outlineLevel="0" collapsed="false">
      <c r="A74" s="13" t="n">
        <v>64</v>
      </c>
      <c r="B74" s="13" t="s">
        <v>175</v>
      </c>
      <c r="C74" s="13" t="n">
        <v>9.4</v>
      </c>
      <c r="D74" s="13" t="s">
        <v>138</v>
      </c>
      <c r="E74" s="13" t="n">
        <v>192.6</v>
      </c>
      <c r="F74" s="13" t="s">
        <v>131</v>
      </c>
      <c r="G74" s="13" t="n">
        <v>43.3</v>
      </c>
    </row>
    <row r="75" customFormat="false" ht="15" hidden="false" customHeight="false" outlineLevel="0" collapsed="false">
      <c r="A75" s="13" t="n">
        <v>65</v>
      </c>
      <c r="B75" s="13" t="s">
        <v>175</v>
      </c>
      <c r="C75" s="13" t="n">
        <v>10.7</v>
      </c>
      <c r="D75" s="13" t="s">
        <v>136</v>
      </c>
      <c r="E75" s="13" t="n">
        <v>144.4</v>
      </c>
      <c r="F75" s="13" t="s">
        <v>131</v>
      </c>
      <c r="G75" s="13" t="n">
        <v>43.3</v>
      </c>
    </row>
    <row r="76" customFormat="false" ht="15" hidden="false" customHeight="false" outlineLevel="0" collapsed="false">
      <c r="A76" s="13" t="n">
        <v>66</v>
      </c>
      <c r="B76" s="13" t="s">
        <v>175</v>
      </c>
      <c r="C76" s="13" t="n">
        <v>13.6</v>
      </c>
      <c r="D76" s="13" t="s">
        <v>135</v>
      </c>
      <c r="E76" s="13" t="n">
        <v>130</v>
      </c>
      <c r="F76" s="13" t="s">
        <v>132</v>
      </c>
      <c r="G76" s="13" t="n">
        <v>57.8</v>
      </c>
    </row>
    <row r="77" customFormat="false" ht="15" hidden="false" customHeight="false" outlineLevel="0" collapsed="false">
      <c r="A77" s="13" t="n">
        <v>67</v>
      </c>
      <c r="B77" s="13" t="s">
        <v>175</v>
      </c>
      <c r="C77" s="13" t="n">
        <v>14.9</v>
      </c>
      <c r="D77" s="13" t="s">
        <v>134</v>
      </c>
      <c r="E77" s="13" t="n">
        <v>115.6</v>
      </c>
      <c r="F77" s="13" t="s">
        <v>132</v>
      </c>
      <c r="G77" s="13" t="n">
        <v>57.8</v>
      </c>
    </row>
    <row r="78" customFormat="false" ht="15" hidden="false" customHeight="false" outlineLevel="0" collapsed="false">
      <c r="A78" s="13" t="n">
        <v>68</v>
      </c>
      <c r="B78" s="13" t="s">
        <v>175</v>
      </c>
      <c r="C78" s="13" t="n">
        <v>13</v>
      </c>
      <c r="D78" s="13" t="s">
        <v>138</v>
      </c>
      <c r="E78" s="13" t="n">
        <v>192.6</v>
      </c>
      <c r="F78" s="13" t="s">
        <v>132</v>
      </c>
      <c r="G78" s="13" t="n">
        <v>57.8</v>
      </c>
    </row>
    <row r="79" customFormat="false" ht="15" hidden="false" customHeight="false" outlineLevel="0" collapsed="false">
      <c r="A79" s="13" t="n">
        <v>69</v>
      </c>
      <c r="B79" s="13" t="s">
        <v>175</v>
      </c>
      <c r="C79" s="13" t="n">
        <v>15.4</v>
      </c>
      <c r="D79" s="13" t="s">
        <v>137</v>
      </c>
      <c r="E79" s="13" t="n">
        <v>173.3</v>
      </c>
      <c r="F79" s="13" t="s">
        <v>133</v>
      </c>
      <c r="G79" s="13" t="n">
        <v>86.7</v>
      </c>
    </row>
    <row r="80" customFormat="false" ht="15" hidden="false" customHeight="false" outlineLevel="0" collapsed="false">
      <c r="A80" s="13" t="n">
        <v>70</v>
      </c>
      <c r="B80" s="13" t="s">
        <v>175</v>
      </c>
      <c r="C80" s="13" t="n">
        <v>8.1</v>
      </c>
      <c r="D80" s="13" t="s">
        <v>138</v>
      </c>
      <c r="E80" s="13" t="n">
        <v>192.6</v>
      </c>
      <c r="F80" s="13" t="s">
        <v>130</v>
      </c>
      <c r="G80" s="13" t="n">
        <v>28.9</v>
      </c>
    </row>
    <row r="81" customFormat="false" ht="15" hidden="false" customHeight="false" outlineLevel="0" collapsed="false">
      <c r="A81" s="13" t="n">
        <v>71</v>
      </c>
      <c r="B81" s="13" t="s">
        <v>175</v>
      </c>
      <c r="C81" s="13" t="n">
        <v>4.1</v>
      </c>
      <c r="D81" s="13" t="s">
        <v>136</v>
      </c>
      <c r="E81" s="13" t="n">
        <v>144.4</v>
      </c>
      <c r="F81" s="13" t="s">
        <v>229</v>
      </c>
      <c r="G81" s="13" t="n">
        <v>0</v>
      </c>
    </row>
    <row r="82" customFormat="false" ht="15" hidden="false" customHeight="false" outlineLevel="0" collapsed="false">
      <c r="A82" s="13" t="n">
        <v>72</v>
      </c>
      <c r="B82" s="13" t="s">
        <v>175</v>
      </c>
      <c r="C82" s="13" t="n">
        <v>2.4</v>
      </c>
      <c r="D82" s="13" t="s">
        <v>137</v>
      </c>
      <c r="E82" s="13" t="n">
        <v>173.3</v>
      </c>
      <c r="F82" s="13" t="s">
        <v>229</v>
      </c>
      <c r="G82" s="13" t="n">
        <v>0</v>
      </c>
    </row>
    <row r="83" customFormat="false" ht="15" hidden="false" customHeight="false" outlineLevel="0" collapsed="false">
      <c r="A83" s="13" t="n">
        <v>73</v>
      </c>
      <c r="B83" s="13" t="s">
        <v>178</v>
      </c>
      <c r="C83" s="13" t="n">
        <v>3.9</v>
      </c>
      <c r="D83" s="13" t="s">
        <v>137</v>
      </c>
      <c r="E83" s="13" t="n">
        <v>173.3</v>
      </c>
      <c r="F83" s="13" t="s">
        <v>229</v>
      </c>
      <c r="G83" s="13" t="n">
        <v>0</v>
      </c>
    </row>
    <row r="84" customFormat="false" ht="15" hidden="false" customHeight="false" outlineLevel="0" collapsed="false">
      <c r="A84" s="13" t="n">
        <v>74</v>
      </c>
      <c r="B84" s="13" t="s">
        <v>178</v>
      </c>
      <c r="C84" s="13" t="n">
        <v>6.8</v>
      </c>
      <c r="D84" s="13" t="s">
        <v>138</v>
      </c>
      <c r="E84" s="13" t="n">
        <v>192.6</v>
      </c>
      <c r="F84" s="13" t="s">
        <v>130</v>
      </c>
      <c r="G84" s="13" t="n">
        <v>28.9</v>
      </c>
    </row>
    <row r="85" customFormat="false" ht="15" hidden="false" customHeight="false" outlineLevel="0" collapsed="false">
      <c r="A85" s="13" t="n">
        <v>75</v>
      </c>
      <c r="B85" s="13" t="s">
        <v>178</v>
      </c>
      <c r="C85" s="13" t="n">
        <v>7.8</v>
      </c>
      <c r="D85" s="13" t="s">
        <v>138</v>
      </c>
      <c r="E85" s="13" t="n">
        <v>192.6</v>
      </c>
      <c r="F85" s="13" t="s">
        <v>130</v>
      </c>
      <c r="G85" s="13" t="n">
        <v>28.9</v>
      </c>
    </row>
    <row r="86" customFormat="false" ht="15" hidden="false" customHeight="false" outlineLevel="0" collapsed="false">
      <c r="A86" s="13" t="n">
        <v>76</v>
      </c>
      <c r="B86" s="13" t="s">
        <v>178</v>
      </c>
      <c r="C86" s="13" t="n">
        <v>5.7</v>
      </c>
      <c r="D86" s="13" t="s">
        <v>137</v>
      </c>
      <c r="E86" s="13" t="n">
        <v>173.3</v>
      </c>
      <c r="F86" s="13" t="s">
        <v>129</v>
      </c>
      <c r="G86" s="13" t="n">
        <v>14.4</v>
      </c>
    </row>
    <row r="87" customFormat="false" ht="15" hidden="false" customHeight="false" outlineLevel="0" collapsed="false">
      <c r="A87" s="13" t="n">
        <v>77</v>
      </c>
      <c r="B87" s="13" t="s">
        <v>178</v>
      </c>
      <c r="C87" s="13" t="n">
        <v>0.3</v>
      </c>
      <c r="D87" s="13" t="s">
        <v>136</v>
      </c>
      <c r="E87" s="13" t="n">
        <v>144.4</v>
      </c>
      <c r="F87" s="13" t="s">
        <v>229</v>
      </c>
      <c r="G87" s="13" t="n">
        <v>0</v>
      </c>
    </row>
    <row r="88" customFormat="false" ht="15" hidden="false" customHeight="false" outlineLevel="0" collapsed="false">
      <c r="A88" s="13" t="n">
        <v>78</v>
      </c>
      <c r="B88" s="13" t="s">
        <v>175</v>
      </c>
      <c r="C88" s="13" t="n">
        <v>4.5</v>
      </c>
      <c r="D88" s="13" t="s">
        <v>137</v>
      </c>
      <c r="E88" s="13" t="n">
        <v>173.3</v>
      </c>
      <c r="F88" s="13" t="s">
        <v>229</v>
      </c>
      <c r="G88" s="13" t="n">
        <v>0</v>
      </c>
    </row>
    <row r="89" customFormat="false" ht="15" hidden="false" customHeight="false" outlineLevel="0" collapsed="false">
      <c r="A89" s="13" t="n">
        <v>79</v>
      </c>
      <c r="B89" s="13" t="s">
        <v>175</v>
      </c>
      <c r="C89" s="13" t="n">
        <v>7.1</v>
      </c>
      <c r="D89" s="13" t="s">
        <v>138</v>
      </c>
      <c r="E89" s="13" t="n">
        <v>192.6</v>
      </c>
      <c r="F89" s="13" t="s">
        <v>130</v>
      </c>
      <c r="G89" s="13" t="n">
        <v>28.9</v>
      </c>
    </row>
    <row r="90" customFormat="false" ht="15" hidden="false" customHeight="false" outlineLevel="0" collapsed="false">
      <c r="A90" s="13" t="n">
        <v>80</v>
      </c>
      <c r="B90" s="13" t="s">
        <v>175</v>
      </c>
      <c r="C90" s="13" t="n">
        <v>0.1</v>
      </c>
      <c r="D90" s="13" t="s">
        <v>136</v>
      </c>
      <c r="E90" s="13" t="n">
        <v>144.4</v>
      </c>
      <c r="F90" s="13" t="s">
        <v>229</v>
      </c>
      <c r="G90" s="13" t="n">
        <v>0</v>
      </c>
    </row>
    <row r="91" customFormat="false" ht="15" hidden="false" customHeight="false" outlineLevel="0" collapsed="false">
      <c r="A91" s="13" t="n">
        <v>81</v>
      </c>
      <c r="B91" s="13" t="s">
        <v>175</v>
      </c>
      <c r="C91" s="13" t="n">
        <v>3.8</v>
      </c>
      <c r="D91" s="13" t="s">
        <v>137</v>
      </c>
      <c r="E91" s="13" t="n">
        <v>173.3</v>
      </c>
      <c r="F91" s="13" t="s">
        <v>229</v>
      </c>
      <c r="G91" s="13" t="n">
        <v>0</v>
      </c>
    </row>
    <row r="92" customFormat="false" ht="15" hidden="false" customHeight="false" outlineLevel="0" collapsed="false">
      <c r="A92" s="13" t="n">
        <v>82</v>
      </c>
      <c r="B92" s="13" t="s">
        <v>175</v>
      </c>
      <c r="C92" s="13" t="n">
        <v>0</v>
      </c>
      <c r="D92" s="13" t="s">
        <v>136</v>
      </c>
      <c r="E92" s="13" t="n">
        <v>144.4</v>
      </c>
      <c r="F92" s="13" t="s">
        <v>229</v>
      </c>
      <c r="G92" s="13" t="n">
        <v>0</v>
      </c>
    </row>
    <row r="93" customFormat="false" ht="15" hidden="false" customHeight="false" outlineLevel="0" collapsed="false">
      <c r="A93" s="13" t="n">
        <v>83</v>
      </c>
      <c r="B93" s="13" t="s">
        <v>178</v>
      </c>
      <c r="C93" s="13" t="n">
        <v>0.1</v>
      </c>
      <c r="D93" s="13" t="s">
        <v>136</v>
      </c>
      <c r="E93" s="13" t="n">
        <v>144.4</v>
      </c>
      <c r="F93" s="13" t="s">
        <v>229</v>
      </c>
      <c r="G93" s="13" t="n">
        <v>0</v>
      </c>
    </row>
    <row r="94" customFormat="false" ht="15" hidden="false" customHeight="false" outlineLevel="0" collapsed="false">
      <c r="A94" s="13" t="n">
        <v>84</v>
      </c>
      <c r="B94" s="13" t="s">
        <v>175</v>
      </c>
      <c r="C94" s="13" t="n">
        <v>0</v>
      </c>
      <c r="D94" s="13" t="s">
        <v>136</v>
      </c>
      <c r="E94" s="13" t="n">
        <v>144.4</v>
      </c>
      <c r="F94" s="13" t="s">
        <v>229</v>
      </c>
      <c r="G94" s="13" t="n">
        <v>0</v>
      </c>
    </row>
    <row r="95" customFormat="false" ht="15" hidden="false" customHeight="false" outlineLevel="0" collapsed="false">
      <c r="A95" s="13" t="n">
        <v>85</v>
      </c>
      <c r="B95" s="13" t="s">
        <v>178</v>
      </c>
      <c r="C95" s="13" t="n">
        <v>4.3</v>
      </c>
      <c r="D95" s="13" t="s">
        <v>136</v>
      </c>
      <c r="E95" s="13" t="n">
        <v>144.4</v>
      </c>
      <c r="F95" s="13" t="s">
        <v>229</v>
      </c>
      <c r="G95" s="13" t="n">
        <v>0</v>
      </c>
    </row>
    <row r="96" customFormat="false" ht="15" hidden="false" customHeight="false" outlineLevel="0" collapsed="false">
      <c r="A96" s="13" t="n">
        <v>86</v>
      </c>
      <c r="B96" s="13" t="s">
        <v>178</v>
      </c>
      <c r="C96" s="13" t="n">
        <v>5.8</v>
      </c>
      <c r="D96" s="13" t="s">
        <v>134</v>
      </c>
      <c r="E96" s="13" t="n">
        <v>115.6</v>
      </c>
      <c r="F96" s="13" t="s">
        <v>129</v>
      </c>
      <c r="G96" s="13" t="n">
        <v>14.4</v>
      </c>
    </row>
    <row r="97" customFormat="false" ht="15" hidden="false" customHeight="false" outlineLevel="0" collapsed="false">
      <c r="A97" s="13" t="n">
        <v>87</v>
      </c>
      <c r="B97" s="13" t="s">
        <v>178</v>
      </c>
      <c r="C97" s="13" t="n">
        <v>4.5</v>
      </c>
      <c r="D97" s="13" t="s">
        <v>136</v>
      </c>
      <c r="E97" s="13" t="n">
        <v>144.4</v>
      </c>
      <c r="F97" s="13" t="s">
        <v>229</v>
      </c>
      <c r="G97" s="13" t="n">
        <v>0</v>
      </c>
    </row>
    <row r="98" customFormat="false" ht="15" hidden="false" customHeight="false" outlineLevel="0" collapsed="false">
      <c r="A98" s="13" t="n">
        <v>88</v>
      </c>
      <c r="B98" s="13" t="s">
        <v>178</v>
      </c>
      <c r="C98" s="13" t="n">
        <v>4.7</v>
      </c>
      <c r="D98" s="13" t="s">
        <v>136</v>
      </c>
      <c r="E98" s="13" t="n">
        <v>144.4</v>
      </c>
      <c r="F98" s="13" t="s">
        <v>229</v>
      </c>
      <c r="G98" s="13" t="n">
        <v>0</v>
      </c>
    </row>
    <row r="99" customFormat="false" ht="15" hidden="false" customHeight="false" outlineLevel="0" collapsed="false">
      <c r="A99" s="13" t="n">
        <v>89</v>
      </c>
      <c r="B99" s="13" t="s">
        <v>178</v>
      </c>
      <c r="C99" s="13" t="n">
        <v>3.7</v>
      </c>
      <c r="D99" s="13" t="s">
        <v>136</v>
      </c>
      <c r="E99" s="13" t="n">
        <v>144.4</v>
      </c>
      <c r="F99" s="13" t="s">
        <v>229</v>
      </c>
      <c r="G99" s="13" t="n">
        <v>0</v>
      </c>
    </row>
    <row r="100" customFormat="false" ht="15" hidden="false" customHeight="false" outlineLevel="0" collapsed="false">
      <c r="A100" s="13" t="n">
        <v>90</v>
      </c>
      <c r="B100" s="13" t="s">
        <v>178</v>
      </c>
      <c r="C100" s="13" t="n">
        <v>1.6</v>
      </c>
      <c r="D100" s="13" t="s">
        <v>136</v>
      </c>
      <c r="E100" s="13" t="n">
        <v>144.4</v>
      </c>
      <c r="F100" s="13" t="s">
        <v>229</v>
      </c>
      <c r="G100" s="13" t="n">
        <v>0</v>
      </c>
    </row>
    <row r="101" customFormat="false" ht="15" hidden="false" customHeight="false" outlineLevel="0" collapsed="false">
      <c r="A101" s="13" t="n">
        <v>91</v>
      </c>
      <c r="B101" s="13" t="s">
        <v>178</v>
      </c>
      <c r="C101" s="13" t="n">
        <v>1.5</v>
      </c>
      <c r="D101" s="13" t="s">
        <v>136</v>
      </c>
      <c r="E101" s="13" t="n">
        <v>144.4</v>
      </c>
      <c r="F101" s="13" t="s">
        <v>229</v>
      </c>
      <c r="G101" s="13" t="n">
        <v>0</v>
      </c>
    </row>
    <row r="102" customFormat="false" ht="15" hidden="false" customHeight="false" outlineLevel="0" collapsed="false">
      <c r="A102" s="13" t="n">
        <v>92</v>
      </c>
      <c r="B102" s="13" t="s">
        <v>178</v>
      </c>
      <c r="C102" s="13" t="n">
        <v>1</v>
      </c>
      <c r="D102" s="13" t="s">
        <v>136</v>
      </c>
      <c r="E102" s="13" t="n">
        <v>144.4</v>
      </c>
      <c r="F102" s="13" t="s">
        <v>229</v>
      </c>
      <c r="G102" s="13" t="n">
        <v>0</v>
      </c>
    </row>
    <row r="103" customFormat="false" ht="15" hidden="false" customHeight="false" outlineLevel="0" collapsed="false">
      <c r="A103" s="13" t="n">
        <v>93</v>
      </c>
      <c r="B103" s="13" t="s">
        <v>178</v>
      </c>
      <c r="C103" s="13" t="n">
        <v>0.9</v>
      </c>
      <c r="D103" s="13" t="s">
        <v>136</v>
      </c>
      <c r="E103" s="13" t="n">
        <v>144.4</v>
      </c>
      <c r="F103" s="13" t="s">
        <v>229</v>
      </c>
      <c r="G103" s="13" t="n">
        <v>0</v>
      </c>
    </row>
    <row r="104" customFormat="false" ht="15" hidden="false" customHeight="false" outlineLevel="0" collapsed="false">
      <c r="A104" s="13" t="n">
        <v>94</v>
      </c>
      <c r="B104" s="13" t="s">
        <v>175</v>
      </c>
      <c r="C104" s="13" t="n">
        <v>0.2</v>
      </c>
      <c r="D104" s="13" t="s">
        <v>136</v>
      </c>
      <c r="E104" s="13" t="n">
        <v>144.4</v>
      </c>
      <c r="F104" s="13" t="s">
        <v>229</v>
      </c>
      <c r="G104" s="13" t="n">
        <v>0</v>
      </c>
    </row>
    <row r="105" customFormat="false" ht="15" hidden="false" customHeight="false" outlineLevel="0" collapsed="false">
      <c r="A105" s="13" t="n">
        <v>95</v>
      </c>
      <c r="B105" s="13" t="s">
        <v>175</v>
      </c>
      <c r="C105" s="13" t="n">
        <v>0.1</v>
      </c>
      <c r="D105" s="13" t="s">
        <v>136</v>
      </c>
      <c r="E105" s="13" t="n">
        <v>144.4</v>
      </c>
      <c r="F105" s="13" t="s">
        <v>229</v>
      </c>
      <c r="G105" s="13" t="n">
        <v>0</v>
      </c>
    </row>
    <row r="106" customFormat="false" ht="15" hidden="false" customHeight="false" outlineLevel="0" collapsed="false">
      <c r="A106" s="13" t="n">
        <v>96</v>
      </c>
      <c r="B106" s="13" t="s">
        <v>175</v>
      </c>
      <c r="C106" s="13" t="n">
        <v>0.8</v>
      </c>
      <c r="D106" s="13" t="s">
        <v>135</v>
      </c>
      <c r="E106" s="13" t="n">
        <v>130</v>
      </c>
      <c r="F106" s="13" t="s">
        <v>229</v>
      </c>
      <c r="G106" s="13" t="n">
        <v>0</v>
      </c>
    </row>
    <row r="107" customFormat="false" ht="15" hidden="false" customHeight="false" outlineLevel="0" collapsed="false">
      <c r="A107" s="13" t="n">
        <v>97</v>
      </c>
      <c r="B107" s="13" t="s">
        <v>175</v>
      </c>
      <c r="C107" s="13" t="n">
        <v>2.3</v>
      </c>
      <c r="D107" s="13" t="s">
        <v>134</v>
      </c>
      <c r="E107" s="13" t="n">
        <v>115.6</v>
      </c>
      <c r="F107" s="13" t="s">
        <v>229</v>
      </c>
      <c r="G107" s="13" t="n">
        <v>0</v>
      </c>
    </row>
    <row r="108" customFormat="false" ht="15" hidden="false" customHeight="false" outlineLevel="0" collapsed="false">
      <c r="A108" s="13" t="n">
        <v>98</v>
      </c>
      <c r="B108" s="13" t="s">
        <v>175</v>
      </c>
      <c r="C108" s="13" t="n">
        <v>3.7</v>
      </c>
      <c r="D108" s="13" t="s">
        <v>136</v>
      </c>
      <c r="E108" s="13" t="n">
        <v>144.4</v>
      </c>
      <c r="F108" s="13" t="s">
        <v>229</v>
      </c>
      <c r="G108" s="13" t="n">
        <v>0</v>
      </c>
    </row>
    <row r="109" customFormat="false" ht="15" hidden="false" customHeight="false" outlineLevel="0" collapsed="false">
      <c r="A109" s="13" t="n">
        <v>99</v>
      </c>
      <c r="B109" s="13" t="s">
        <v>175</v>
      </c>
      <c r="C109" s="13" t="n">
        <v>3.7</v>
      </c>
      <c r="D109" s="13" t="s">
        <v>137</v>
      </c>
      <c r="E109" s="13" t="n">
        <v>173.3</v>
      </c>
      <c r="F109" s="13" t="s">
        <v>229</v>
      </c>
      <c r="G109" s="13" t="n">
        <v>0</v>
      </c>
    </row>
    <row r="110" customFormat="false" ht="15" hidden="false" customHeight="false" outlineLevel="0" collapsed="false">
      <c r="A110" s="13" t="n">
        <v>100</v>
      </c>
      <c r="B110" s="13" t="s">
        <v>175</v>
      </c>
      <c r="C110" s="13" t="n">
        <v>3.8</v>
      </c>
      <c r="D110" s="13" t="s">
        <v>137</v>
      </c>
      <c r="E110" s="13" t="n">
        <v>173.3</v>
      </c>
      <c r="F110" s="13" t="s">
        <v>229</v>
      </c>
      <c r="G110" s="13" t="n">
        <v>0</v>
      </c>
    </row>
    <row r="111" customFormat="false" ht="15" hidden="false" customHeight="false" outlineLevel="0" collapsed="false">
      <c r="A111" s="13" t="n">
        <v>101</v>
      </c>
      <c r="B111" s="13" t="s">
        <v>175</v>
      </c>
      <c r="C111" s="13" t="n">
        <v>5.9</v>
      </c>
      <c r="D111" s="13" t="s">
        <v>137</v>
      </c>
      <c r="E111" s="13" t="n">
        <v>173.3</v>
      </c>
      <c r="F111" s="13" t="s">
        <v>129</v>
      </c>
      <c r="G111" s="13" t="n">
        <v>14.4</v>
      </c>
    </row>
    <row r="112" customFormat="false" ht="15" hidden="false" customHeight="false" outlineLevel="0" collapsed="false">
      <c r="A112" s="13" t="n">
        <v>102</v>
      </c>
      <c r="B112" s="13" t="s">
        <v>175</v>
      </c>
      <c r="C112" s="13" t="n">
        <v>6.5</v>
      </c>
      <c r="D112" s="13" t="s">
        <v>137</v>
      </c>
      <c r="E112" s="13" t="n">
        <v>173.3</v>
      </c>
      <c r="F112" s="13" t="s">
        <v>130</v>
      </c>
      <c r="G112" s="13" t="n">
        <v>28.9</v>
      </c>
    </row>
    <row r="113" customFormat="false" ht="15" hidden="false" customHeight="false" outlineLevel="0" collapsed="false">
      <c r="A113" s="13" t="n">
        <v>103</v>
      </c>
      <c r="B113" s="13" t="s">
        <v>175</v>
      </c>
      <c r="C113" s="13" t="n">
        <v>8.5</v>
      </c>
      <c r="D113" s="13" t="s">
        <v>136</v>
      </c>
      <c r="E113" s="13" t="n">
        <v>144.4</v>
      </c>
      <c r="F113" s="13" t="s">
        <v>130</v>
      </c>
      <c r="G113" s="13" t="n">
        <v>28.9</v>
      </c>
    </row>
    <row r="114" customFormat="false" ht="15" hidden="false" customHeight="false" outlineLevel="0" collapsed="false">
      <c r="A114" s="13" t="n">
        <v>104</v>
      </c>
      <c r="B114" s="13" t="s">
        <v>175</v>
      </c>
      <c r="C114" s="13" t="n">
        <v>3.1</v>
      </c>
      <c r="D114" s="13" t="s">
        <v>134</v>
      </c>
      <c r="E114" s="13" t="n">
        <v>115.6</v>
      </c>
      <c r="F114" s="13" t="s">
        <v>229</v>
      </c>
      <c r="G114" s="13" t="n">
        <v>0</v>
      </c>
    </row>
    <row r="115" customFormat="false" ht="15" hidden="false" customHeight="false" outlineLevel="0" collapsed="false">
      <c r="A115" s="13" t="n">
        <v>105</v>
      </c>
      <c r="B115" s="13" t="s">
        <v>175</v>
      </c>
      <c r="C115" s="13" t="n">
        <v>3</v>
      </c>
      <c r="D115" s="13" t="s">
        <v>134</v>
      </c>
      <c r="E115" s="13" t="n">
        <v>115.6</v>
      </c>
      <c r="F115" s="13" t="s">
        <v>229</v>
      </c>
      <c r="G115" s="13" t="n">
        <v>0</v>
      </c>
    </row>
    <row r="116" customFormat="false" ht="15" hidden="false" customHeight="false" outlineLevel="0" collapsed="false">
      <c r="A116" s="13" t="n">
        <v>106</v>
      </c>
      <c r="B116" s="13" t="s">
        <v>175</v>
      </c>
      <c r="C116" s="13" t="n">
        <v>3.9</v>
      </c>
      <c r="D116" s="13" t="s">
        <v>137</v>
      </c>
      <c r="E116" s="13" t="n">
        <v>173.3</v>
      </c>
      <c r="F116" s="13" t="s">
        <v>229</v>
      </c>
      <c r="G116" s="13" t="n">
        <v>0</v>
      </c>
    </row>
    <row r="117" customFormat="false" ht="15" hidden="false" customHeight="false" outlineLevel="0" collapsed="false">
      <c r="A117" s="13" t="n">
        <v>107</v>
      </c>
      <c r="B117" s="13" t="s">
        <v>175</v>
      </c>
      <c r="C117" s="13" t="n">
        <v>4.9</v>
      </c>
      <c r="D117" s="13" t="s">
        <v>134</v>
      </c>
      <c r="E117" s="13" t="n">
        <v>115.6</v>
      </c>
      <c r="F117" s="13" t="s">
        <v>229</v>
      </c>
      <c r="G117" s="13" t="n">
        <v>0</v>
      </c>
    </row>
    <row r="118" customFormat="false" ht="15" hidden="false" customHeight="false" outlineLevel="0" collapsed="false">
      <c r="A118" s="13" t="n">
        <v>108</v>
      </c>
      <c r="B118" s="13" t="s">
        <v>175</v>
      </c>
      <c r="C118" s="13" t="n">
        <v>2.9</v>
      </c>
      <c r="D118" s="13" t="s">
        <v>137</v>
      </c>
      <c r="E118" s="13" t="n">
        <v>173.3</v>
      </c>
      <c r="F118" s="13" t="s">
        <v>229</v>
      </c>
      <c r="G118" s="13" t="n">
        <v>0</v>
      </c>
    </row>
    <row r="119" customFormat="false" ht="15" hidden="false" customHeight="false" outlineLevel="0" collapsed="false">
      <c r="A119" s="13" t="n">
        <v>109</v>
      </c>
      <c r="B119" s="13" t="s">
        <v>175</v>
      </c>
      <c r="C119" s="13" t="n">
        <v>2.7</v>
      </c>
      <c r="D119" s="13" t="s">
        <v>137</v>
      </c>
      <c r="E119" s="13" t="n">
        <v>173.3</v>
      </c>
      <c r="F119" s="13" t="s">
        <v>229</v>
      </c>
      <c r="G119" s="1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230</v>
      </c>
    </row>
    <row r="2" customFormat="false" ht="15" hidden="false" customHeight="false" outlineLevel="0" collapsed="false">
      <c r="A2" s="2" t="s">
        <v>231</v>
      </c>
    </row>
    <row r="4" customFormat="false" ht="23.85" hidden="false" customHeight="false" outlineLevel="0" collapsed="false">
      <c r="A4" s="3" t="s">
        <v>180</v>
      </c>
      <c r="B4" s="3" t="s">
        <v>232</v>
      </c>
      <c r="C4" s="3" t="s">
        <v>233</v>
      </c>
      <c r="D4" s="3" t="s">
        <v>234</v>
      </c>
      <c r="E4" s="3" t="s">
        <v>235</v>
      </c>
      <c r="F4" s="3" t="s">
        <v>236</v>
      </c>
      <c r="G4" s="3" t="s">
        <v>237</v>
      </c>
    </row>
    <row r="5" customFormat="false" ht="15" hidden="false" customHeight="false" outlineLevel="0" collapsed="false">
      <c r="A5" s="13" t="s">
        <v>238</v>
      </c>
      <c r="B5" s="13" t="n">
        <v>109</v>
      </c>
      <c r="C5" s="13" t="n">
        <v>16.4</v>
      </c>
      <c r="D5" s="13" t="n">
        <v>13.4</v>
      </c>
      <c r="E5" s="13" t="n">
        <v>45.1</v>
      </c>
      <c r="F5" s="24" t="n">
        <v>0.48</v>
      </c>
      <c r="G5" s="13" t="n">
        <v>4</v>
      </c>
    </row>
    <row r="6" customFormat="false" ht="15" hidden="false" customHeight="false" outlineLevel="0" collapsed="false">
      <c r="A6" s="13" t="s">
        <v>239</v>
      </c>
      <c r="B6" s="13" t="n">
        <v>108</v>
      </c>
      <c r="C6" s="13" t="n">
        <v>11.3</v>
      </c>
      <c r="D6" s="13" t="n">
        <v>8.3</v>
      </c>
      <c r="E6" s="13" t="n">
        <v>43.9</v>
      </c>
      <c r="F6" s="24" t="n">
        <v>0.56</v>
      </c>
      <c r="G6" s="13" t="n">
        <v>11</v>
      </c>
    </row>
    <row r="7" customFormat="false" ht="15" hidden="false" customHeight="false" outlineLevel="0" collapsed="false">
      <c r="A7" s="13" t="s">
        <v>240</v>
      </c>
      <c r="B7" s="13" t="n">
        <v>109</v>
      </c>
      <c r="C7" s="13" t="n">
        <v>20.1</v>
      </c>
      <c r="D7" s="13" t="n">
        <v>17.1</v>
      </c>
      <c r="E7" s="13" t="n">
        <v>43.9</v>
      </c>
      <c r="F7" s="24" t="n">
        <v>0.46</v>
      </c>
      <c r="G7" s="13" t="n">
        <v>2</v>
      </c>
    </row>
    <row r="8" customFormat="false" ht="15" hidden="false" customHeight="false" outlineLevel="0" collapsed="false">
      <c r="A8" s="13" t="s">
        <v>241</v>
      </c>
      <c r="B8" s="13" t="n">
        <v>109</v>
      </c>
      <c r="C8" s="13" t="n">
        <v>25.5</v>
      </c>
      <c r="D8" s="13" t="n">
        <v>22.5</v>
      </c>
      <c r="E8" s="13" t="n">
        <v>48.6</v>
      </c>
      <c r="F8" s="24" t="n">
        <v>0.42</v>
      </c>
      <c r="G8" s="13" t="n">
        <v>1</v>
      </c>
    </row>
    <row r="9" customFormat="false" ht="15" hidden="false" customHeight="false" outlineLevel="0" collapsed="false">
      <c r="A9" s="13" t="s">
        <v>242</v>
      </c>
      <c r="B9" s="13" t="n">
        <v>108</v>
      </c>
      <c r="C9" s="13" t="n">
        <v>8.7</v>
      </c>
      <c r="D9" s="13" t="n">
        <v>5.7</v>
      </c>
      <c r="E9" s="13" t="n">
        <v>40.7</v>
      </c>
      <c r="F9" s="24" t="n">
        <v>0.54</v>
      </c>
      <c r="G9" s="13" t="n">
        <v>16</v>
      </c>
    </row>
    <row r="10" customFormat="false" ht="15" hidden="false" customHeight="false" outlineLevel="0" collapsed="false">
      <c r="A10" s="13" t="s">
        <v>243</v>
      </c>
      <c r="B10" s="13" t="n">
        <v>106</v>
      </c>
      <c r="C10" s="13" t="n">
        <v>2.7</v>
      </c>
      <c r="D10" s="13" t="n">
        <v>-0.3</v>
      </c>
      <c r="E10" s="13" t="n">
        <v>43.1</v>
      </c>
      <c r="F10" s="24" t="n">
        <v>0.62</v>
      </c>
      <c r="G10" s="13" t="n">
        <v>19</v>
      </c>
    </row>
    <row r="11" customFormat="false" ht="15" hidden="false" customHeight="false" outlineLevel="0" collapsed="false">
      <c r="A11" s="13" t="s">
        <v>244</v>
      </c>
      <c r="B11" s="13" t="n">
        <v>108</v>
      </c>
      <c r="C11" s="13" t="n">
        <v>10.4</v>
      </c>
      <c r="D11" s="13" t="n">
        <v>7.4</v>
      </c>
      <c r="E11" s="13" t="n">
        <v>39.1</v>
      </c>
      <c r="F11" s="24" t="n">
        <v>0.65</v>
      </c>
      <c r="G11" s="13" t="n">
        <v>4</v>
      </c>
    </row>
    <row r="12" customFormat="false" ht="15" hidden="false" customHeight="false" outlineLevel="0" collapsed="false">
      <c r="A12" s="13" t="s">
        <v>245</v>
      </c>
      <c r="B12" s="13" t="n">
        <v>109</v>
      </c>
      <c r="C12" s="13" t="n">
        <v>14.4</v>
      </c>
      <c r="D12" s="13" t="n">
        <v>11.4</v>
      </c>
      <c r="E12" s="13" t="n">
        <v>45.4</v>
      </c>
      <c r="F12" s="24" t="n">
        <v>0.51</v>
      </c>
      <c r="G12" s="13" t="n">
        <v>4</v>
      </c>
    </row>
    <row r="13" customFormat="false" ht="15" hidden="false" customHeight="false" outlineLevel="0" collapsed="false">
      <c r="A13" s="13" t="s">
        <v>246</v>
      </c>
      <c r="B13" s="13" t="n">
        <v>105</v>
      </c>
      <c r="C13" s="13" t="n">
        <v>6.6</v>
      </c>
      <c r="D13" s="13" t="n">
        <v>3.6</v>
      </c>
      <c r="E13" s="13" t="n">
        <v>45.1</v>
      </c>
      <c r="F13" s="24" t="n">
        <v>0.52</v>
      </c>
      <c r="G13" s="13" t="n">
        <v>4</v>
      </c>
    </row>
    <row r="16" customFormat="false" ht="15" hidden="false" customHeight="false" outlineLevel="0" collapsed="false">
      <c r="A16" s="25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62"/>
  </cols>
  <sheetData>
    <row r="1" customFormat="false" ht="17.35" hidden="false" customHeight="false" outlineLevel="0" collapsed="false">
      <c r="A1" s="1" t="s">
        <v>248</v>
      </c>
    </row>
    <row r="2" customFormat="false" ht="15" hidden="false" customHeight="false" outlineLevel="0" collapsed="false">
      <c r="A2" s="2" t="s">
        <v>249</v>
      </c>
    </row>
    <row r="4" customFormat="false" ht="23.85" hidden="false" customHeight="false" outlineLevel="0" collapsed="false">
      <c r="A4" s="3" t="s">
        <v>250</v>
      </c>
      <c r="B4" s="3" t="s">
        <v>251</v>
      </c>
      <c r="C4" s="3" t="s">
        <v>252</v>
      </c>
      <c r="D4" s="3" t="s">
        <v>253</v>
      </c>
      <c r="E4" s="3" t="s">
        <v>61</v>
      </c>
    </row>
    <row r="5" customFormat="false" ht="15" hidden="false" customHeight="false" outlineLevel="0" collapsed="false">
      <c r="A5" s="6" t="s">
        <v>254</v>
      </c>
      <c r="B5" s="13" t="n">
        <v>1</v>
      </c>
      <c r="C5" s="13" t="n">
        <v>100</v>
      </c>
      <c r="D5" s="7" t="n">
        <f aca="false">B5*C5</f>
        <v>100</v>
      </c>
      <c r="E5" s="14" t="s">
        <v>255</v>
      </c>
    </row>
    <row r="6" customFormat="false" ht="15" hidden="false" customHeight="false" outlineLevel="0" collapsed="false">
      <c r="A6" s="6" t="s">
        <v>256</v>
      </c>
      <c r="B6" s="13" t="n">
        <v>3</v>
      </c>
      <c r="C6" s="13" t="n">
        <v>9.5</v>
      </c>
      <c r="D6" s="7" t="n">
        <f aca="false">B6*C6</f>
        <v>28.5</v>
      </c>
      <c r="E6" s="14" t="s">
        <v>257</v>
      </c>
    </row>
    <row r="7" customFormat="false" ht="15" hidden="false" customHeight="false" outlineLevel="0" collapsed="false">
      <c r="A7" s="6" t="s">
        <v>258</v>
      </c>
      <c r="B7" s="13" t="n">
        <v>1</v>
      </c>
      <c r="C7" s="13" t="n">
        <v>15</v>
      </c>
      <c r="D7" s="7" t="n">
        <f aca="false">B7*C7</f>
        <v>15</v>
      </c>
      <c r="E7" s="14" t="s">
        <v>80</v>
      </c>
    </row>
    <row r="8" customFormat="false" ht="15" hidden="false" customHeight="false" outlineLevel="0" collapsed="false">
      <c r="A8" s="4" t="s">
        <v>259</v>
      </c>
      <c r="D8" s="23" t="n">
        <v>0.1</v>
      </c>
      <c r="E8" s="14" t="s">
        <v>260</v>
      </c>
    </row>
    <row r="9" customFormat="false" ht="15" hidden="false" customHeight="false" outlineLevel="0" collapsed="false">
      <c r="A9" s="4" t="s">
        <v>261</v>
      </c>
      <c r="D9" s="7" t="n">
        <f aca="false">SUM(D5:D7)*(1+D8)</f>
        <v>157.85</v>
      </c>
      <c r="E9" s="14"/>
    </row>
    <row r="10" customFormat="false" ht="15" hidden="false" customHeight="false" outlineLevel="0" collapsed="false">
      <c r="A10" s="4" t="s">
        <v>262</v>
      </c>
      <c r="D10" s="20" t="n">
        <f aca="false">D9*24/1000</f>
        <v>3.7884</v>
      </c>
      <c r="E10" s="14"/>
    </row>
    <row r="11" customFormat="false" ht="15" hidden="false" customHeight="false" outlineLevel="0" collapsed="false">
      <c r="A11" s="4" t="s">
        <v>263</v>
      </c>
      <c r="D11" s="26" t="n">
        <v>2</v>
      </c>
      <c r="E11" s="14" t="s">
        <v>264</v>
      </c>
    </row>
    <row r="12" customFormat="false" ht="15" hidden="false" customHeight="false" outlineLevel="0" collapsed="false">
      <c r="A12" s="4" t="s">
        <v>265</v>
      </c>
      <c r="D12" s="23" t="n">
        <v>0.9</v>
      </c>
      <c r="E12" s="14" t="s">
        <v>266</v>
      </c>
    </row>
    <row r="13" customFormat="false" ht="15" hidden="false" customHeight="false" outlineLevel="0" collapsed="false">
      <c r="A13" s="4" t="s">
        <v>267</v>
      </c>
      <c r="D13" s="7" t="n">
        <f aca="false">D10*D11/D12</f>
        <v>8.41866666666667</v>
      </c>
      <c r="E13" s="14"/>
    </row>
    <row r="14" customFormat="false" ht="15" hidden="false" customHeight="false" outlineLevel="0" collapsed="false">
      <c r="A14" s="4" t="s">
        <v>268</v>
      </c>
      <c r="D14" s="17" t="n">
        <v>5.12</v>
      </c>
      <c r="E14" s="14" t="s">
        <v>269</v>
      </c>
    </row>
    <row r="15" customFormat="false" ht="15" hidden="false" customHeight="false" outlineLevel="0" collapsed="false">
      <c r="A15" s="4" t="s">
        <v>270</v>
      </c>
      <c r="D15" s="5" t="n">
        <f aca="false">ROUNDUP(D13/D14,0)</f>
        <v>2</v>
      </c>
      <c r="E15" s="14"/>
    </row>
    <row r="16" customFormat="false" ht="15" hidden="false" customHeight="false" outlineLevel="0" collapsed="false">
      <c r="A16" s="4" t="s">
        <v>271</v>
      </c>
      <c r="D16" s="26" t="n">
        <v>3.5</v>
      </c>
      <c r="E16" s="14" t="s">
        <v>272</v>
      </c>
    </row>
    <row r="17" customFormat="false" ht="15" hidden="false" customHeight="false" outlineLevel="0" collapsed="false">
      <c r="A17" s="4" t="s">
        <v>273</v>
      </c>
      <c r="D17" s="17" t="n">
        <v>0.75</v>
      </c>
      <c r="E17" s="14" t="s">
        <v>274</v>
      </c>
    </row>
    <row r="18" customFormat="false" ht="15" hidden="false" customHeight="false" outlineLevel="0" collapsed="false">
      <c r="A18" s="4" t="s">
        <v>275</v>
      </c>
      <c r="D18" s="20" t="n">
        <f aca="false">D10/(D16*D17)</f>
        <v>1.4432</v>
      </c>
      <c r="E18" s="14"/>
    </row>
    <row r="19" customFormat="false" ht="15" hidden="false" customHeight="false" outlineLevel="0" collapsed="false">
      <c r="A19" s="4" t="s">
        <v>276</v>
      </c>
      <c r="D19" s="19" t="n">
        <v>550</v>
      </c>
      <c r="E19" s="14" t="s">
        <v>277</v>
      </c>
    </row>
    <row r="20" customFormat="false" ht="15" hidden="false" customHeight="false" outlineLevel="0" collapsed="false">
      <c r="A20" s="4" t="s">
        <v>278</v>
      </c>
      <c r="D20" s="5" t="n">
        <f aca="false">ROUNDUP(D18*1000/D19,0)</f>
        <v>3</v>
      </c>
      <c r="E20" s="14"/>
    </row>
    <row r="21" customFormat="false" ht="15" hidden="false" customHeight="false" outlineLevel="0" collapsed="false">
      <c r="A21" s="4" t="s">
        <v>279</v>
      </c>
      <c r="D21" s="7" t="n">
        <f aca="false">D15*D14*D12/D10</f>
        <v>2.43268926195755</v>
      </c>
      <c r="E21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4" min="3" style="0" width="9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9" min="8" style="0" width="15"/>
    <col collapsed="false" customWidth="true" hidden="false" outlineLevel="0" max="10" min="10" style="0" width="38"/>
  </cols>
  <sheetData>
    <row r="1" customFormat="false" ht="17.35" hidden="false" customHeight="false" outlineLevel="0" collapsed="false">
      <c r="A1" s="1" t="s">
        <v>280</v>
      </c>
    </row>
    <row r="2" customFormat="false" ht="15" hidden="false" customHeight="false" outlineLevel="0" collapsed="false">
      <c r="A2" s="2" t="s">
        <v>281</v>
      </c>
    </row>
    <row r="4" customFormat="false" ht="23.85" hidden="false" customHeight="false" outlineLevel="0" collapsed="false">
      <c r="A4" s="3" t="s">
        <v>282</v>
      </c>
      <c r="B4" s="3" t="s">
        <v>283</v>
      </c>
      <c r="C4" s="3" t="s">
        <v>284</v>
      </c>
      <c r="D4" s="3" t="s">
        <v>285</v>
      </c>
      <c r="E4" s="3" t="s">
        <v>286</v>
      </c>
      <c r="F4" s="3" t="s">
        <v>287</v>
      </c>
      <c r="G4" s="3" t="s">
        <v>288</v>
      </c>
      <c r="H4" s="3" t="s">
        <v>289</v>
      </c>
      <c r="I4" s="3" t="s">
        <v>290</v>
      </c>
      <c r="J4" s="3" t="s">
        <v>291</v>
      </c>
    </row>
    <row r="5" customFormat="false" ht="23.85" hidden="false" customHeight="false" outlineLevel="0" collapsed="false">
      <c r="A5" s="6" t="s">
        <v>292</v>
      </c>
      <c r="B5" s="6" t="s">
        <v>293</v>
      </c>
      <c r="C5" s="13" t="n">
        <v>1</v>
      </c>
      <c r="D5" s="13" t="n">
        <v>1</v>
      </c>
      <c r="E5" s="27" t="n">
        <v>1499</v>
      </c>
      <c r="F5" s="6" t="s">
        <v>294</v>
      </c>
      <c r="G5" s="10" t="n">
        <f aca="false">IF(F5="USD",E5*Supuestos!$C$32,E5)</f>
        <v>11459.1055</v>
      </c>
      <c r="H5" s="10" t="n">
        <f aca="false">C5*G5</f>
        <v>11459.1055</v>
      </c>
      <c r="I5" s="10" t="n">
        <f aca="false">D5*G5</f>
        <v>11459.1055</v>
      </c>
      <c r="J5" s="14" t="s">
        <v>295</v>
      </c>
    </row>
    <row r="6" customFormat="false" ht="15" hidden="false" customHeight="false" outlineLevel="0" collapsed="false">
      <c r="A6" s="6" t="s">
        <v>296</v>
      </c>
      <c r="B6" s="6" t="s">
        <v>293</v>
      </c>
      <c r="C6" s="13" t="n">
        <v>1</v>
      </c>
      <c r="D6" s="13" t="n">
        <v>1</v>
      </c>
      <c r="E6" s="27" t="n">
        <v>480</v>
      </c>
      <c r="F6" s="6" t="s">
        <v>297</v>
      </c>
      <c r="G6" s="10" t="n">
        <f aca="false">IF(F6="USD",E6*Supuestos!$C$32,E6)</f>
        <v>480</v>
      </c>
      <c r="H6" s="10" t="n">
        <f aca="false">C6*G6</f>
        <v>480</v>
      </c>
      <c r="I6" s="10" t="n">
        <f aca="false">D6*G6</f>
        <v>480</v>
      </c>
      <c r="J6" s="14" t="s">
        <v>298</v>
      </c>
    </row>
    <row r="7" customFormat="false" ht="15" hidden="false" customHeight="false" outlineLevel="0" collapsed="false">
      <c r="A7" s="6" t="s">
        <v>299</v>
      </c>
      <c r="B7" s="6" t="s">
        <v>293</v>
      </c>
      <c r="C7" s="13" t="n">
        <v>1</v>
      </c>
      <c r="D7" s="13" t="n">
        <v>1</v>
      </c>
      <c r="E7" s="27" t="n">
        <v>1300</v>
      </c>
      <c r="F7" s="6" t="s">
        <v>297</v>
      </c>
      <c r="G7" s="10" t="n">
        <f aca="false">IF(F7="USD",E7*Supuestos!$C$32,E7)</f>
        <v>1300</v>
      </c>
      <c r="H7" s="10" t="n">
        <f aca="false">C7*G7</f>
        <v>1300</v>
      </c>
      <c r="I7" s="10" t="n">
        <f aca="false">D7*G7</f>
        <v>1300</v>
      </c>
      <c r="J7" s="14" t="s">
        <v>298</v>
      </c>
    </row>
    <row r="8" customFormat="false" ht="15" hidden="false" customHeight="false" outlineLevel="0" collapsed="false">
      <c r="A8" s="6" t="s">
        <v>300</v>
      </c>
      <c r="B8" s="6" t="s">
        <v>301</v>
      </c>
      <c r="C8" s="13" t="n">
        <v>3</v>
      </c>
      <c r="D8" s="13" t="n">
        <v>3</v>
      </c>
      <c r="E8" s="27" t="n">
        <v>307.78</v>
      </c>
      <c r="F8" s="6" t="s">
        <v>294</v>
      </c>
      <c r="G8" s="10" t="n">
        <f aca="false">IF(F8="USD",E8*Supuestos!$C$32,E8)</f>
        <v>2352.82421</v>
      </c>
      <c r="H8" s="10" t="n">
        <f aca="false">C8*G8</f>
        <v>7058.47263</v>
      </c>
      <c r="I8" s="10" t="n">
        <f aca="false">D8*G8</f>
        <v>7058.47263</v>
      </c>
      <c r="J8" s="14" t="s">
        <v>302</v>
      </c>
    </row>
    <row r="9" customFormat="false" ht="15" hidden="false" customHeight="false" outlineLevel="0" collapsed="false">
      <c r="A9" s="6" t="s">
        <v>303</v>
      </c>
      <c r="B9" s="6" t="s">
        <v>301</v>
      </c>
      <c r="C9" s="13" t="n">
        <v>3</v>
      </c>
      <c r="D9" s="13" t="n">
        <v>3</v>
      </c>
      <c r="E9" s="27" t="n">
        <v>79</v>
      </c>
      <c r="F9" s="6" t="s">
        <v>294</v>
      </c>
      <c r="G9" s="10" t="n">
        <f aca="false">IF(F9="USD",E9*Supuestos!$C$32,E9)</f>
        <v>603.9155</v>
      </c>
      <c r="H9" s="10" t="n">
        <f aca="false">C9*G9</f>
        <v>1811.7465</v>
      </c>
      <c r="I9" s="10" t="n">
        <f aca="false">D9*G9</f>
        <v>1811.7465</v>
      </c>
      <c r="J9" s="14" t="s">
        <v>304</v>
      </c>
    </row>
    <row r="10" customFormat="false" ht="15" hidden="false" customHeight="false" outlineLevel="0" collapsed="false">
      <c r="A10" s="6" t="s">
        <v>305</v>
      </c>
      <c r="B10" s="6" t="s">
        <v>306</v>
      </c>
      <c r="C10" s="13" t="n">
        <v>1</v>
      </c>
      <c r="D10" s="13" t="n">
        <v>1</v>
      </c>
      <c r="E10" s="27" t="n">
        <v>250</v>
      </c>
      <c r="F10" s="6" t="s">
        <v>294</v>
      </c>
      <c r="G10" s="10" t="n">
        <f aca="false">IF(F10="USD",E10*Supuestos!$C$32,E10)</f>
        <v>1911.125</v>
      </c>
      <c r="H10" s="10" t="n">
        <f aca="false">C10*G10</f>
        <v>1911.125</v>
      </c>
      <c r="I10" s="10" t="n">
        <f aca="false">D10*G10</f>
        <v>1911.125</v>
      </c>
      <c r="J10" s="14" t="s">
        <v>307</v>
      </c>
    </row>
    <row r="11" customFormat="false" ht="15" hidden="false" customHeight="false" outlineLevel="0" collapsed="false">
      <c r="A11" s="6" t="s">
        <v>308</v>
      </c>
      <c r="B11" s="6" t="s">
        <v>306</v>
      </c>
      <c r="C11" s="13" t="n">
        <v>3</v>
      </c>
      <c r="D11" s="13" t="n">
        <v>3</v>
      </c>
      <c r="E11" s="27" t="n">
        <v>25</v>
      </c>
      <c r="F11" s="6" t="s">
        <v>294</v>
      </c>
      <c r="G11" s="10" t="n">
        <f aca="false">IF(F11="USD",E11*Supuestos!$C$32,E11)</f>
        <v>191.1125</v>
      </c>
      <c r="H11" s="10" t="n">
        <f aca="false">C11*G11</f>
        <v>573.3375</v>
      </c>
      <c r="I11" s="10" t="n">
        <f aca="false">D11*G11</f>
        <v>573.3375</v>
      </c>
      <c r="J11" s="14" t="s">
        <v>307</v>
      </c>
    </row>
    <row r="12" customFormat="false" ht="15" hidden="false" customHeight="false" outlineLevel="0" collapsed="false">
      <c r="A12" s="6" t="s">
        <v>309</v>
      </c>
      <c r="B12" s="6" t="s">
        <v>310</v>
      </c>
      <c r="C12" s="13" t="n">
        <v>109</v>
      </c>
      <c r="D12" s="13" t="n">
        <v>65</v>
      </c>
      <c r="E12" s="27" t="n">
        <v>64.83</v>
      </c>
      <c r="F12" s="6" t="s">
        <v>294</v>
      </c>
      <c r="G12" s="10" t="n">
        <f aca="false">IF(F12="USD",E12*Supuestos!$C$32,E12)</f>
        <v>495.592935</v>
      </c>
      <c r="H12" s="10" t="n">
        <f aca="false">C12*G12</f>
        <v>54019.629915</v>
      </c>
      <c r="I12" s="10" t="n">
        <f aca="false">D12*G12</f>
        <v>32213.540775</v>
      </c>
      <c r="J12" s="14" t="s">
        <v>311</v>
      </c>
    </row>
    <row r="13" customFormat="false" ht="15" hidden="false" customHeight="false" outlineLevel="0" collapsed="false">
      <c r="A13" s="6" t="s">
        <v>312</v>
      </c>
      <c r="B13" s="6" t="s">
        <v>310</v>
      </c>
      <c r="C13" s="13" t="n">
        <v>109</v>
      </c>
      <c r="D13" s="13" t="n">
        <v>65</v>
      </c>
      <c r="E13" s="27" t="n">
        <v>25</v>
      </c>
      <c r="F13" s="6" t="s">
        <v>294</v>
      </c>
      <c r="G13" s="10" t="n">
        <f aca="false">IF(F13="USD",E13*Supuestos!$C$32,E13)</f>
        <v>191.1125</v>
      </c>
      <c r="H13" s="10" t="n">
        <f aca="false">C13*G13</f>
        <v>20831.2625</v>
      </c>
      <c r="I13" s="10" t="n">
        <f aca="false">D13*G13</f>
        <v>12422.3125</v>
      </c>
      <c r="J13" s="14" t="s">
        <v>307</v>
      </c>
    </row>
    <row r="14" customFormat="false" ht="15" hidden="false" customHeight="false" outlineLevel="0" collapsed="false">
      <c r="A14" s="6" t="s">
        <v>313</v>
      </c>
      <c r="B14" s="6" t="s">
        <v>310</v>
      </c>
      <c r="C14" s="13" t="n">
        <v>109</v>
      </c>
      <c r="D14" s="13" t="n">
        <v>65</v>
      </c>
      <c r="E14" s="27" t="n">
        <v>12</v>
      </c>
      <c r="F14" s="6" t="s">
        <v>294</v>
      </c>
      <c r="G14" s="10" t="n">
        <f aca="false">IF(F14="USD",E14*Supuestos!$C$32,E14)</f>
        <v>91.734</v>
      </c>
      <c r="H14" s="10" t="n">
        <f aca="false">C14*G14</f>
        <v>9999.006</v>
      </c>
      <c r="I14" s="10" t="n">
        <f aca="false">D14*G14</f>
        <v>5962.71</v>
      </c>
      <c r="J14" s="14" t="s">
        <v>307</v>
      </c>
    </row>
    <row r="15" customFormat="false" ht="15" hidden="false" customHeight="false" outlineLevel="0" collapsed="false">
      <c r="A15" s="6" t="s">
        <v>314</v>
      </c>
      <c r="B15" s="6" t="s">
        <v>310</v>
      </c>
      <c r="C15" s="13" t="n">
        <v>109</v>
      </c>
      <c r="D15" s="13" t="n">
        <v>65</v>
      </c>
      <c r="E15" s="27" t="n">
        <v>30</v>
      </c>
      <c r="F15" s="6" t="s">
        <v>294</v>
      </c>
      <c r="G15" s="10" t="n">
        <f aca="false">IF(F15="USD",E15*Supuestos!$C$32,E15)</f>
        <v>229.335</v>
      </c>
      <c r="H15" s="10" t="n">
        <f aca="false">C15*G15</f>
        <v>24997.515</v>
      </c>
      <c r="I15" s="10" t="n">
        <f aca="false">D15*G15</f>
        <v>14906.775</v>
      </c>
      <c r="J15" s="14" t="s">
        <v>307</v>
      </c>
    </row>
    <row r="16" customFormat="false" ht="15" hidden="false" customHeight="false" outlineLevel="0" collapsed="false">
      <c r="A16" s="6" t="s">
        <v>315</v>
      </c>
      <c r="B16" s="6" t="s">
        <v>316</v>
      </c>
      <c r="C16" s="13" t="n">
        <v>2</v>
      </c>
      <c r="D16" s="13" t="n">
        <v>2</v>
      </c>
      <c r="E16" s="27" t="n">
        <v>179</v>
      </c>
      <c r="F16" s="6" t="s">
        <v>294</v>
      </c>
      <c r="G16" s="10" t="n">
        <f aca="false">IF(F16="USD",E16*Supuestos!$C$32,E16)</f>
        <v>1368.3655</v>
      </c>
      <c r="H16" s="10" t="n">
        <f aca="false">C16*G16</f>
        <v>2736.731</v>
      </c>
      <c r="I16" s="10" t="n">
        <f aca="false">D16*G16</f>
        <v>2736.731</v>
      </c>
      <c r="J16" s="14" t="s">
        <v>307</v>
      </c>
    </row>
    <row r="17" customFormat="false" ht="15" hidden="false" customHeight="false" outlineLevel="0" collapsed="false">
      <c r="A17" s="6" t="s">
        <v>317</v>
      </c>
      <c r="B17" s="6" t="s">
        <v>318</v>
      </c>
      <c r="C17" s="13" t="n">
        <v>1</v>
      </c>
      <c r="D17" s="13" t="n">
        <v>1</v>
      </c>
      <c r="E17" s="27" t="n">
        <v>7500</v>
      </c>
      <c r="F17" s="6" t="s">
        <v>294</v>
      </c>
      <c r="G17" s="10" t="n">
        <f aca="false">IF(F17="USD",E17*Supuestos!$C$32,E17)</f>
        <v>57333.75</v>
      </c>
      <c r="H17" s="10" t="n">
        <f aca="false">C17*G17</f>
        <v>57333.75</v>
      </c>
      <c r="I17" s="10" t="n">
        <f aca="false">D17*G17</f>
        <v>57333.75</v>
      </c>
      <c r="J17" s="14" t="s">
        <v>319</v>
      </c>
    </row>
    <row r="18" customFormat="false" ht="15" hidden="false" customHeight="false" outlineLevel="0" collapsed="false">
      <c r="A18" s="6" t="s">
        <v>320</v>
      </c>
      <c r="B18" s="6" t="s">
        <v>318</v>
      </c>
      <c r="C18" s="13" t="n">
        <v>1</v>
      </c>
      <c r="D18" s="13" t="n">
        <v>1</v>
      </c>
      <c r="E18" s="27" t="n">
        <v>800</v>
      </c>
      <c r="F18" s="6" t="s">
        <v>294</v>
      </c>
      <c r="G18" s="10" t="n">
        <f aca="false">IF(F18="USD",E18*Supuestos!$C$32,E18)</f>
        <v>6115.6</v>
      </c>
      <c r="H18" s="10" t="n">
        <f aca="false">C18*G18</f>
        <v>6115.6</v>
      </c>
      <c r="I18" s="10" t="n">
        <f aca="false">D18*G18</f>
        <v>6115.6</v>
      </c>
      <c r="J18" s="14" t="s">
        <v>307</v>
      </c>
    </row>
    <row r="19" customFormat="false" ht="15" hidden="false" customHeight="false" outlineLevel="0" collapsed="false">
      <c r="A19" s="6" t="s">
        <v>321</v>
      </c>
      <c r="B19" s="6" t="s">
        <v>318</v>
      </c>
      <c r="C19" s="13" t="n">
        <v>1</v>
      </c>
      <c r="D19" s="13" t="n">
        <v>1</v>
      </c>
      <c r="E19" s="27" t="n">
        <v>250</v>
      </c>
      <c r="F19" s="6" t="s">
        <v>294</v>
      </c>
      <c r="G19" s="10" t="n">
        <f aca="false">IF(F19="USD",E19*Supuestos!$C$32,E19)</f>
        <v>1911.125</v>
      </c>
      <c r="H19" s="10" t="n">
        <f aca="false">C19*G19</f>
        <v>1911.125</v>
      </c>
      <c r="I19" s="10" t="n">
        <f aca="false">D19*G19</f>
        <v>1911.125</v>
      </c>
      <c r="J19" s="14" t="s">
        <v>307</v>
      </c>
    </row>
    <row r="20" customFormat="false" ht="15" hidden="false" customHeight="false" outlineLevel="0" collapsed="false">
      <c r="A20" s="6" t="s">
        <v>322</v>
      </c>
      <c r="B20" s="6" t="s">
        <v>323</v>
      </c>
      <c r="C20" s="5" t="n">
        <f aca="false">Energia!$D$20</f>
        <v>3</v>
      </c>
      <c r="D20" s="5" t="n">
        <f aca="false">Energia!$D$20</f>
        <v>3</v>
      </c>
      <c r="E20" s="27" t="n">
        <v>165</v>
      </c>
      <c r="F20" s="6" t="s">
        <v>294</v>
      </c>
      <c r="G20" s="10" t="n">
        <f aca="false">IF(F20="USD",E20*Supuestos!$C$32,E20)</f>
        <v>1261.3425</v>
      </c>
      <c r="H20" s="10" t="n">
        <f aca="false">C20*G20</f>
        <v>3784.0275</v>
      </c>
      <c r="I20" s="10" t="n">
        <f aca="false">D20*G20</f>
        <v>3784.0275</v>
      </c>
      <c r="J20" s="14" t="s">
        <v>307</v>
      </c>
    </row>
    <row r="21" customFormat="false" ht="15" hidden="false" customHeight="false" outlineLevel="0" collapsed="false">
      <c r="A21" s="6" t="s">
        <v>324</v>
      </c>
      <c r="B21" s="6" t="s">
        <v>323</v>
      </c>
      <c r="C21" s="5" t="n">
        <f aca="false">Energia!$D$15</f>
        <v>2</v>
      </c>
      <c r="D21" s="5" t="n">
        <f aca="false">Energia!$D$15</f>
        <v>2</v>
      </c>
      <c r="E21" s="27" t="n">
        <v>3495.95</v>
      </c>
      <c r="F21" s="6" t="s">
        <v>294</v>
      </c>
      <c r="G21" s="10" t="n">
        <f aca="false">IF(F21="USD",E21*Supuestos!$C$32,E21)</f>
        <v>26724.789775</v>
      </c>
      <c r="H21" s="10" t="n">
        <f aca="false">C21*G21</f>
        <v>53449.57955</v>
      </c>
      <c r="I21" s="10" t="n">
        <f aca="false">D21*G21</f>
        <v>53449.57955</v>
      </c>
      <c r="J21" s="14" t="s">
        <v>325</v>
      </c>
    </row>
    <row r="22" customFormat="false" ht="15" hidden="false" customHeight="false" outlineLevel="0" collapsed="false">
      <c r="A22" s="6" t="s">
        <v>326</v>
      </c>
      <c r="B22" s="6" t="s">
        <v>323</v>
      </c>
      <c r="C22" s="13" t="n">
        <v>1</v>
      </c>
      <c r="D22" s="13" t="n">
        <v>1</v>
      </c>
      <c r="E22" s="27" t="n">
        <v>950</v>
      </c>
      <c r="F22" s="6" t="s">
        <v>294</v>
      </c>
      <c r="G22" s="10" t="n">
        <f aca="false">IF(F22="USD",E22*Supuestos!$C$32,E22)</f>
        <v>7262.275</v>
      </c>
      <c r="H22" s="10" t="n">
        <f aca="false">C22*G22</f>
        <v>7262.275</v>
      </c>
      <c r="I22" s="10" t="n">
        <f aca="false">D22*G22</f>
        <v>7262.275</v>
      </c>
      <c r="J22" s="14" t="s">
        <v>307</v>
      </c>
    </row>
    <row r="23" customFormat="false" ht="15" hidden="false" customHeight="false" outlineLevel="0" collapsed="false">
      <c r="A23" s="6" t="s">
        <v>327</v>
      </c>
      <c r="B23" s="6" t="s">
        <v>323</v>
      </c>
      <c r="C23" s="13" t="n">
        <v>1</v>
      </c>
      <c r="D23" s="13" t="n">
        <v>1</v>
      </c>
      <c r="E23" s="27" t="n">
        <v>1300</v>
      </c>
      <c r="F23" s="6" t="s">
        <v>294</v>
      </c>
      <c r="G23" s="10" t="n">
        <f aca="false">IF(F23="USD",E23*Supuestos!$C$32,E23)</f>
        <v>9937.85</v>
      </c>
      <c r="H23" s="10" t="n">
        <f aca="false">C23*G23</f>
        <v>9937.85</v>
      </c>
      <c r="I23" s="10" t="n">
        <f aca="false">D23*G23</f>
        <v>9937.85</v>
      </c>
      <c r="J23" s="14" t="s">
        <v>307</v>
      </c>
    </row>
    <row r="24" customFormat="false" ht="15" hidden="false" customHeight="false" outlineLevel="0" collapsed="false">
      <c r="A24" s="6" t="s">
        <v>328</v>
      </c>
      <c r="B24" s="6" t="s">
        <v>329</v>
      </c>
      <c r="C24" s="13" t="n">
        <v>1</v>
      </c>
      <c r="D24" s="13" t="n">
        <v>1</v>
      </c>
      <c r="E24" s="27" t="n">
        <v>3000</v>
      </c>
      <c r="F24" s="6" t="s">
        <v>294</v>
      </c>
      <c r="G24" s="10" t="n">
        <f aca="false">IF(F24="USD",E24*Supuestos!$C$32,E24)</f>
        <v>22933.5</v>
      </c>
      <c r="H24" s="10" t="n">
        <f aca="false">C24*G24</f>
        <v>22933.5</v>
      </c>
      <c r="I24" s="10" t="n">
        <f aca="false">D24*G24</f>
        <v>22933.5</v>
      </c>
      <c r="J24" s="14" t="s">
        <v>307</v>
      </c>
    </row>
    <row r="25" customFormat="false" ht="15" hidden="false" customHeight="false" outlineLevel="0" collapsed="false">
      <c r="A25" s="6" t="s">
        <v>330</v>
      </c>
      <c r="B25" s="6" t="s">
        <v>329</v>
      </c>
      <c r="C25" s="13" t="n">
        <v>109</v>
      </c>
      <c r="D25" s="13" t="n">
        <v>65</v>
      </c>
      <c r="E25" s="27" t="n">
        <v>20</v>
      </c>
      <c r="F25" s="6" t="s">
        <v>294</v>
      </c>
      <c r="G25" s="10" t="n">
        <f aca="false">IF(F25="USD",E25*Supuestos!$C$32,E25)</f>
        <v>152.89</v>
      </c>
      <c r="H25" s="10" t="n">
        <f aca="false">C25*G25</f>
        <v>16665.01</v>
      </c>
      <c r="I25" s="10" t="n">
        <f aca="false">D25*G25</f>
        <v>9937.85</v>
      </c>
      <c r="J25" s="14" t="s">
        <v>307</v>
      </c>
    </row>
    <row r="26" customFormat="false" ht="15" hidden="false" customHeight="false" outlineLevel="0" collapsed="false">
      <c r="A26" s="6" t="s">
        <v>331</v>
      </c>
      <c r="B26" s="6" t="s">
        <v>329</v>
      </c>
      <c r="C26" s="13" t="n">
        <v>1</v>
      </c>
      <c r="D26" s="13" t="n">
        <v>1</v>
      </c>
      <c r="E26" s="27" t="n">
        <v>1500</v>
      </c>
      <c r="F26" s="6" t="s">
        <v>294</v>
      </c>
      <c r="G26" s="10" t="n">
        <f aca="false">IF(F26="USD",E26*Supuestos!$C$32,E26)</f>
        <v>11466.75</v>
      </c>
      <c r="H26" s="10" t="n">
        <f aca="false">C26*G26</f>
        <v>11466.75</v>
      </c>
      <c r="I26" s="10" t="n">
        <f aca="false">D26*G26</f>
        <v>11466.75</v>
      </c>
      <c r="J26" s="14" t="s">
        <v>307</v>
      </c>
    </row>
    <row r="28" customFormat="false" ht="23.85" hidden="false" customHeight="false" outlineLevel="0" collapsed="false">
      <c r="A28" s="6" t="s">
        <v>332</v>
      </c>
      <c r="G28" s="28" t="n">
        <v>0.1</v>
      </c>
      <c r="J28" s="14" t="s">
        <v>333</v>
      </c>
    </row>
    <row r="29" customFormat="false" ht="15" hidden="false" customHeight="false" outlineLevel="0" collapsed="false">
      <c r="A29" s="6" t="s">
        <v>334</v>
      </c>
      <c r="G29" s="28" t="n">
        <v>0.1</v>
      </c>
      <c r="J29" s="14" t="s">
        <v>80</v>
      </c>
    </row>
    <row r="30" customFormat="false" ht="15" hidden="false" customHeight="false" outlineLevel="0" collapsed="false">
      <c r="A30" s="6" t="s">
        <v>335</v>
      </c>
      <c r="H30" s="10" t="n">
        <f aca="false">SUM(H5:H26)</f>
        <v>328037.398595</v>
      </c>
      <c r="I30" s="10" t="n">
        <f aca="false">SUM(I5:I26)</f>
        <v>276968.163455</v>
      </c>
    </row>
    <row r="31" customFormat="false" ht="15" hidden="false" customHeight="false" outlineLevel="0" collapsed="false">
      <c r="A31" s="6" t="s">
        <v>336</v>
      </c>
      <c r="H31" s="10" t="n">
        <f aca="false">H30*$G$28</f>
        <v>32803.7398595</v>
      </c>
      <c r="I31" s="10" t="n">
        <f aca="false">I30*$G$28</f>
        <v>27696.8163455</v>
      </c>
    </row>
    <row r="32" customFormat="false" ht="15" hidden="false" customHeight="false" outlineLevel="0" collapsed="false">
      <c r="A32" s="6" t="s">
        <v>337</v>
      </c>
      <c r="H32" s="10" t="n">
        <f aca="false">(H30+H31)*$G$29</f>
        <v>36084.11384545</v>
      </c>
      <c r="I32" s="10" t="n">
        <f aca="false">(I30+I31)*$G$29</f>
        <v>30466.49798005</v>
      </c>
    </row>
    <row r="33" customFormat="false" ht="15" hidden="false" customHeight="false" outlineLevel="0" collapsed="false">
      <c r="A33" s="4" t="s">
        <v>338</v>
      </c>
      <c r="H33" s="29" t="n">
        <f aca="false">SUM(H30:H32)</f>
        <v>396925.25229995</v>
      </c>
      <c r="I33" s="29" t="n">
        <f aca="false">SUM(I30:I32)</f>
        <v>335131.47778055</v>
      </c>
    </row>
    <row r="34" customFormat="false" ht="15" hidden="false" customHeight="false" outlineLevel="0" collapsed="false">
      <c r="A34" s="6" t="s">
        <v>339</v>
      </c>
      <c r="H34" s="10" t="n">
        <f aca="false">H33/Supuestos!$C$32</f>
        <v>51922.9841454575</v>
      </c>
      <c r="I34" s="10" t="n">
        <f aca="false">I33/Supuestos!$C$32</f>
        <v>43839.5549454575</v>
      </c>
    </row>
    <row r="35" customFormat="false" ht="15" hidden="false" customHeight="false" outlineLevel="0" collapsed="false">
      <c r="A35" s="6" t="s">
        <v>340</v>
      </c>
      <c r="H35" s="19" t="n">
        <v>98</v>
      </c>
      <c r="I35" s="19" t="n">
        <v>65</v>
      </c>
    </row>
    <row r="36" customFormat="false" ht="15" hidden="false" customHeight="false" outlineLevel="0" collapsed="false">
      <c r="A36" s="4" t="s">
        <v>30</v>
      </c>
      <c r="H36" s="29" t="n">
        <f aca="false">H33/H35</f>
        <v>4050.2576765301</v>
      </c>
      <c r="I36" s="29" t="n">
        <f aca="false">I33/I35</f>
        <v>5155.86888893154</v>
      </c>
    </row>
    <row r="37" customFormat="false" ht="15" hidden="false" customHeight="false" outlineLevel="0" collapsed="false">
      <c r="A37" s="30" t="s">
        <v>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  <col collapsed="false" customWidth="true" hidden="false" outlineLevel="0" max="4" min="4" style="0" width="62"/>
  </cols>
  <sheetData>
    <row r="1" customFormat="false" ht="17.35" hidden="false" customHeight="false" outlineLevel="0" collapsed="false">
      <c r="A1" s="1" t="s">
        <v>342</v>
      </c>
    </row>
    <row r="2" customFormat="false" ht="15" hidden="false" customHeight="false" outlineLevel="0" collapsed="false">
      <c r="A2" s="2" t="s">
        <v>343</v>
      </c>
    </row>
    <row r="4" customFormat="false" ht="15" hidden="false" customHeight="false" outlineLevel="0" collapsed="false">
      <c r="A4" s="3" t="s">
        <v>191</v>
      </c>
      <c r="B4" s="3" t="s">
        <v>186</v>
      </c>
      <c r="C4" s="3" t="s">
        <v>192</v>
      </c>
      <c r="D4" s="3" t="s">
        <v>4</v>
      </c>
    </row>
    <row r="5" customFormat="false" ht="15" hidden="false" customHeight="false" outlineLevel="0" collapsed="false">
      <c r="A5" s="6" t="s">
        <v>344</v>
      </c>
      <c r="B5" s="13" t="n">
        <v>67</v>
      </c>
      <c r="C5" s="13" t="n">
        <v>100</v>
      </c>
      <c r="D5" s="6" t="s">
        <v>345</v>
      </c>
    </row>
    <row r="6" customFormat="false" ht="15" hidden="false" customHeight="false" outlineLevel="0" collapsed="false">
      <c r="A6" s="6" t="s">
        <v>208</v>
      </c>
      <c r="B6" s="13" t="n">
        <v>25</v>
      </c>
      <c r="C6" s="13" t="n">
        <v>25</v>
      </c>
      <c r="D6" s="6" t="s">
        <v>80</v>
      </c>
    </row>
    <row r="7" customFormat="false" ht="15" hidden="false" customHeight="false" outlineLevel="0" collapsed="false">
      <c r="A7" s="6" t="s">
        <v>346</v>
      </c>
      <c r="B7" s="10" t="n">
        <f aca="false">B5*B6</f>
        <v>1675</v>
      </c>
      <c r="C7" s="10" t="n">
        <f aca="false">C5*C6</f>
        <v>2500</v>
      </c>
    </row>
    <row r="8" customFormat="false" ht="15" hidden="false" customHeight="false" outlineLevel="0" collapsed="false">
      <c r="A8" s="6" t="s">
        <v>347</v>
      </c>
      <c r="B8" s="5" t="n">
        <f aca="false">ROUNDUP(MAX(0,B7-2000)/50,0)</f>
        <v>0</v>
      </c>
      <c r="C8" s="5" t="n">
        <f aca="false">ROUNDUP(MAX(0,C7-2000)/50,0)</f>
        <v>10</v>
      </c>
    </row>
    <row r="9" customFormat="false" ht="15" hidden="false" customHeight="false" outlineLevel="0" collapsed="false">
      <c r="A9" s="6" t="s">
        <v>348</v>
      </c>
      <c r="B9" s="31" t="n">
        <v>2970</v>
      </c>
      <c r="C9" s="31" t="n">
        <v>2970</v>
      </c>
      <c r="D9" s="6" t="s">
        <v>349</v>
      </c>
    </row>
    <row r="10" customFormat="false" ht="15" hidden="false" customHeight="false" outlineLevel="0" collapsed="false">
      <c r="A10" s="6" t="s">
        <v>350</v>
      </c>
      <c r="B10" s="13" t="n">
        <v>140</v>
      </c>
      <c r="C10" s="13" t="n">
        <v>140</v>
      </c>
      <c r="D10" s="6" t="s">
        <v>349</v>
      </c>
    </row>
    <row r="11" customFormat="false" ht="15" hidden="false" customHeight="false" outlineLevel="0" collapsed="false">
      <c r="A11" s="4" t="s">
        <v>351</v>
      </c>
      <c r="B11" s="10" t="n">
        <f aca="false">B9+B8*B10</f>
        <v>2970</v>
      </c>
      <c r="C11" s="10" t="n">
        <f aca="false">C9+C8*C10</f>
        <v>4370</v>
      </c>
    </row>
    <row r="12" customFormat="false" ht="15" hidden="false" customHeight="false" outlineLevel="0" collapsed="false">
      <c r="A12" s="6" t="s">
        <v>352</v>
      </c>
      <c r="B12" s="10" t="n">
        <f aca="false">0.02*BOM_CAPEX!$I$33/12</f>
        <v>558.552462967583</v>
      </c>
      <c r="C12" s="10" t="n">
        <f aca="false">0.02*BOM_CAPEX!$H$33/12</f>
        <v>661.542087166583</v>
      </c>
      <c r="D12" s="6" t="s">
        <v>80</v>
      </c>
    </row>
    <row r="13" customFormat="false" ht="15" hidden="false" customHeight="false" outlineLevel="0" collapsed="false">
      <c r="A13" s="6" t="s">
        <v>353</v>
      </c>
      <c r="B13" s="31" t="n">
        <v>2000</v>
      </c>
      <c r="C13" s="31" t="n">
        <v>2000</v>
      </c>
      <c r="D13" s="6" t="s">
        <v>80</v>
      </c>
    </row>
    <row r="14" customFormat="false" ht="15" hidden="false" customHeight="false" outlineLevel="0" collapsed="false">
      <c r="A14" s="6" t="s">
        <v>354</v>
      </c>
      <c r="B14" s="10" t="n">
        <f aca="false">0.05*BOM_CAPEX!I12/12</f>
        <v>134.2230865625</v>
      </c>
      <c r="C14" s="10" t="n">
        <f aca="false">0.05*BOM_CAPEX!H12/12</f>
        <v>225.0817913125</v>
      </c>
      <c r="D14" s="6" t="s">
        <v>80</v>
      </c>
    </row>
    <row r="15" customFormat="false" ht="15" hidden="false" customHeight="false" outlineLevel="0" collapsed="false">
      <c r="A15" s="6" t="s">
        <v>355</v>
      </c>
      <c r="B15" s="10" t="n">
        <f aca="false">BOM_CAPEX!I21/120</f>
        <v>445.413162916667</v>
      </c>
      <c r="C15" s="10" t="n">
        <f aca="false">BOM_CAPEX!H21/120</f>
        <v>445.413162916667</v>
      </c>
      <c r="D15" s="6" t="s">
        <v>356</v>
      </c>
    </row>
    <row r="16" customFormat="false" ht="15" hidden="false" customHeight="false" outlineLevel="0" collapsed="false">
      <c r="A16" s="6" t="s">
        <v>357</v>
      </c>
      <c r="B16" s="10" t="n">
        <f aca="false">0.01*BOM_CAPEX!$I$33/12</f>
        <v>279.276231483792</v>
      </c>
      <c r="C16" s="10" t="n">
        <f aca="false">0.01*BOM_CAPEX!$H$33/12</f>
        <v>330.771043583292</v>
      </c>
      <c r="D16" s="6" t="s">
        <v>80</v>
      </c>
    </row>
    <row r="17" customFormat="false" ht="15" hidden="false" customHeight="false" outlineLevel="0" collapsed="false">
      <c r="A17" s="6" t="s">
        <v>358</v>
      </c>
      <c r="B17" s="31" t="n">
        <v>500</v>
      </c>
      <c r="C17" s="31" t="n">
        <v>500</v>
      </c>
      <c r="D17" s="6" t="s">
        <v>80</v>
      </c>
    </row>
    <row r="18" customFormat="false" ht="15" hidden="false" customHeight="false" outlineLevel="0" collapsed="false">
      <c r="A18" s="4" t="s">
        <v>359</v>
      </c>
      <c r="B18" s="29" t="n">
        <f aca="false">SUM(B11:B17)</f>
        <v>6887.46494393054</v>
      </c>
      <c r="C18" s="29" t="n">
        <f aca="false">SUM(C11:C17)</f>
        <v>8532.80808497904</v>
      </c>
    </row>
    <row r="19" customFormat="false" ht="15" hidden="false" customHeight="false" outlineLevel="0" collapsed="false">
      <c r="A19" s="6" t="s">
        <v>360</v>
      </c>
      <c r="B19" s="13" t="n">
        <v>65</v>
      </c>
      <c r="C19" s="13" t="n">
        <v>98</v>
      </c>
    </row>
    <row r="20" customFormat="false" ht="15" hidden="false" customHeight="false" outlineLevel="0" collapsed="false">
      <c r="A20" s="4" t="s">
        <v>361</v>
      </c>
      <c r="B20" s="32" t="n">
        <f aca="false">B18/B19</f>
        <v>105.960999137393</v>
      </c>
      <c r="C20" s="32" t="n">
        <f aca="false">C18/C19</f>
        <v>87.0694702548882</v>
      </c>
    </row>
    <row r="21" customFormat="false" ht="15" hidden="false" customHeight="false" outlineLevel="0" collapsed="false">
      <c r="A21" s="6" t="s">
        <v>362</v>
      </c>
      <c r="B21" s="11" t="n">
        <f aca="false">BOM_CAPEX!$I$36/60</f>
        <v>85.931148148859</v>
      </c>
      <c r="C21" s="11" t="n">
        <f aca="false">BOM_CAPEX!$H$36/60</f>
        <v>67.504294608835</v>
      </c>
    </row>
    <row r="22" customFormat="false" ht="15" hidden="false" customHeight="false" outlineLevel="0" collapsed="false">
      <c r="A22" s="4" t="s">
        <v>363</v>
      </c>
      <c r="B22" s="32" t="n">
        <f aca="false">B20+B21</f>
        <v>191.892147286252</v>
      </c>
      <c r="C22" s="32" t="n">
        <f aca="false">C20+C21</f>
        <v>154.573764863723</v>
      </c>
      <c r="D22" s="6" t="s">
        <v>364</v>
      </c>
    </row>
    <row r="23" customFormat="false" ht="15" hidden="false" customHeight="false" outlineLevel="0" collapsed="false">
      <c r="A23" s="6" t="s">
        <v>365</v>
      </c>
      <c r="C23" s="33" t="n">
        <v>175</v>
      </c>
      <c r="D23" s="6" t="s">
        <v>366</v>
      </c>
    </row>
    <row r="24" customFormat="false" ht="15" hidden="false" customHeight="false" outlineLevel="0" collapsed="false">
      <c r="A24" s="6" t="s">
        <v>367</v>
      </c>
      <c r="C24" s="10" t="n">
        <f aca="false">C23*C19</f>
        <v>17150</v>
      </c>
    </row>
    <row r="25" customFormat="false" ht="15" hidden="false" customHeight="false" outlineLevel="0" collapsed="false">
      <c r="A25" s="6" t="s">
        <v>368</v>
      </c>
      <c r="C25" s="10" t="n">
        <f aca="false">C24-C18</f>
        <v>8617.19191502096</v>
      </c>
    </row>
    <row r="26" customFormat="false" ht="15" hidden="false" customHeight="false" outlineLevel="0" collapsed="false">
      <c r="A26" s="6" t="s">
        <v>369</v>
      </c>
      <c r="C26" s="5" t="n">
        <f aca="false">IF(C25&gt;0,BOM_CAPEX!$H$33/C25,"no se recupera")</f>
        <v>46.0620183714435</v>
      </c>
      <c r="D26" s="6" t="s">
        <v>370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52"/>
  </cols>
  <sheetData>
    <row r="1" customFormat="false" ht="17.35" hidden="false" customHeight="false" outlineLevel="0" collapsed="false">
      <c r="A1" s="1" t="s">
        <v>371</v>
      </c>
    </row>
    <row r="2" customFormat="false" ht="15" hidden="false" customHeight="false" outlineLevel="0" collapsed="false">
      <c r="A2" s="2" t="s">
        <v>372</v>
      </c>
    </row>
    <row r="4" customFormat="false" ht="15" hidden="false" customHeight="false" outlineLevel="0" collapsed="false">
      <c r="A4" s="3" t="s">
        <v>373</v>
      </c>
      <c r="B4" s="3" t="s">
        <v>374</v>
      </c>
      <c r="C4" s="3" t="s">
        <v>375</v>
      </c>
    </row>
    <row r="5" customFormat="false" ht="61.5" hidden="false" customHeight="true" outlineLevel="0" collapsed="false">
      <c r="A5" s="34" t="s">
        <v>376</v>
      </c>
      <c r="B5" s="14" t="s">
        <v>377</v>
      </c>
      <c r="C5" s="14" t="s">
        <v>378</v>
      </c>
    </row>
    <row r="6" customFormat="false" ht="61.5" hidden="false" customHeight="true" outlineLevel="0" collapsed="false">
      <c r="A6" s="34" t="s">
        <v>379</v>
      </c>
      <c r="B6" s="14" t="s">
        <v>380</v>
      </c>
      <c r="C6" s="14" t="s">
        <v>381</v>
      </c>
    </row>
    <row r="7" customFormat="false" ht="61.5" hidden="false" customHeight="true" outlineLevel="0" collapsed="false">
      <c r="A7" s="34" t="s">
        <v>382</v>
      </c>
      <c r="B7" s="14" t="s">
        <v>383</v>
      </c>
      <c r="C7" s="14" t="s">
        <v>384</v>
      </c>
    </row>
    <row r="8" customFormat="false" ht="61.5" hidden="false" customHeight="true" outlineLevel="0" collapsed="false">
      <c r="A8" s="34" t="s">
        <v>385</v>
      </c>
      <c r="B8" s="14" t="s">
        <v>386</v>
      </c>
      <c r="C8" s="14" t="s">
        <v>387</v>
      </c>
    </row>
    <row r="9" customFormat="false" ht="61.5" hidden="false" customHeight="true" outlineLevel="0" collapsed="false">
      <c r="A9" s="34" t="s">
        <v>388</v>
      </c>
      <c r="B9" s="14" t="s">
        <v>389</v>
      </c>
      <c r="C9" s="14" t="s">
        <v>390</v>
      </c>
    </row>
    <row r="10" customFormat="false" ht="61.5" hidden="false" customHeight="true" outlineLevel="0" collapsed="false">
      <c r="A10" s="34" t="s">
        <v>391</v>
      </c>
      <c r="B10" s="14" t="s">
        <v>392</v>
      </c>
      <c r="C10" s="14" t="s">
        <v>393</v>
      </c>
    </row>
    <row r="11" customFormat="false" ht="61.5" hidden="false" customHeight="true" outlineLevel="0" collapsed="false">
      <c r="A11" s="34" t="s">
        <v>394</v>
      </c>
      <c r="B11" s="14" t="s">
        <v>395</v>
      </c>
      <c r="C11" s="14" t="s">
        <v>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60"/>
    <col collapsed="false" customWidth="true" hidden="false" outlineLevel="0" max="4" min="4" style="0" width="14"/>
    <col collapsed="false" customWidth="true" hidden="false" outlineLevel="0" max="5" min="5" style="0" width="28"/>
  </cols>
  <sheetData>
    <row r="1" customFormat="false" ht="17.35" hidden="false" customHeight="false" outlineLevel="0" collapsed="false">
      <c r="A1" s="1" t="s">
        <v>397</v>
      </c>
    </row>
    <row r="2" customFormat="false" ht="15" hidden="false" customHeight="false" outlineLevel="0" collapsed="false">
      <c r="A2" s="2" t="s">
        <v>398</v>
      </c>
    </row>
    <row r="4" customFormat="false" ht="15" hidden="false" customHeight="false" outlineLevel="0" collapsed="false">
      <c r="A4" s="3" t="s">
        <v>399</v>
      </c>
      <c r="B4" s="3" t="s">
        <v>400</v>
      </c>
      <c r="C4" s="3" t="s">
        <v>401</v>
      </c>
      <c r="D4" s="3" t="s">
        <v>402</v>
      </c>
      <c r="E4" s="3" t="s">
        <v>403</v>
      </c>
    </row>
    <row r="5" customFormat="false" ht="45" hidden="false" customHeight="true" outlineLevel="0" collapsed="false">
      <c r="A5" s="14" t="s">
        <v>404</v>
      </c>
      <c r="B5" s="14" t="s">
        <v>405</v>
      </c>
      <c r="C5" s="14" t="s">
        <v>406</v>
      </c>
      <c r="D5" s="14" t="s">
        <v>407</v>
      </c>
      <c r="E5" s="14" t="s">
        <v>408</v>
      </c>
    </row>
    <row r="6" customFormat="false" ht="45" hidden="false" customHeight="true" outlineLevel="0" collapsed="false">
      <c r="A6" s="14" t="s">
        <v>409</v>
      </c>
      <c r="B6" s="14" t="s">
        <v>410</v>
      </c>
      <c r="C6" s="14" t="s">
        <v>411</v>
      </c>
      <c r="D6" s="14" t="s">
        <v>407</v>
      </c>
      <c r="E6" s="14" t="s">
        <v>412</v>
      </c>
    </row>
    <row r="7" customFormat="false" ht="45" hidden="false" customHeight="true" outlineLevel="0" collapsed="false">
      <c r="A7" s="14" t="s">
        <v>413</v>
      </c>
      <c r="B7" s="14" t="s">
        <v>414</v>
      </c>
      <c r="C7" s="14" t="s">
        <v>415</v>
      </c>
      <c r="D7" s="14" t="s">
        <v>407</v>
      </c>
      <c r="E7" s="14" t="s">
        <v>416</v>
      </c>
    </row>
    <row r="8" customFormat="false" ht="45" hidden="false" customHeight="true" outlineLevel="0" collapsed="false">
      <c r="A8" s="14" t="s">
        <v>417</v>
      </c>
      <c r="B8" s="14" t="s">
        <v>418</v>
      </c>
      <c r="C8" s="14" t="s">
        <v>419</v>
      </c>
      <c r="D8" s="14" t="s">
        <v>407</v>
      </c>
      <c r="E8" s="14" t="s">
        <v>420</v>
      </c>
    </row>
    <row r="9" customFormat="false" ht="45" hidden="false" customHeight="true" outlineLevel="0" collapsed="false">
      <c r="A9" s="14" t="s">
        <v>421</v>
      </c>
      <c r="B9" s="14" t="s">
        <v>422</v>
      </c>
      <c r="C9" s="14" t="s">
        <v>423</v>
      </c>
      <c r="D9" s="14" t="s">
        <v>407</v>
      </c>
      <c r="E9" s="14" t="s">
        <v>424</v>
      </c>
    </row>
    <row r="10" customFormat="false" ht="45" hidden="false" customHeight="true" outlineLevel="0" collapsed="false">
      <c r="A10" s="14" t="s">
        <v>425</v>
      </c>
      <c r="B10" s="14" t="s">
        <v>426</v>
      </c>
      <c r="C10" s="14" t="s">
        <v>427</v>
      </c>
      <c r="D10" s="14" t="s">
        <v>407</v>
      </c>
      <c r="E10" s="14" t="s">
        <v>412</v>
      </c>
    </row>
    <row r="11" customFormat="false" ht="45" hidden="false" customHeight="true" outlineLevel="0" collapsed="false">
      <c r="A11" s="14" t="s">
        <v>428</v>
      </c>
      <c r="B11" s="14" t="s">
        <v>429</v>
      </c>
      <c r="C11" s="14" t="s">
        <v>430</v>
      </c>
      <c r="D11" s="14" t="s">
        <v>407</v>
      </c>
      <c r="E11" s="14" t="s">
        <v>412</v>
      </c>
    </row>
    <row r="12" customFormat="false" ht="45" hidden="false" customHeight="true" outlineLevel="0" collapsed="false">
      <c r="A12" s="14" t="s">
        <v>349</v>
      </c>
      <c r="B12" s="14" t="s">
        <v>431</v>
      </c>
      <c r="C12" s="14" t="s">
        <v>432</v>
      </c>
      <c r="D12" s="14" t="s">
        <v>433</v>
      </c>
      <c r="E12" s="14" t="s">
        <v>434</v>
      </c>
    </row>
    <row r="13" customFormat="false" ht="45" hidden="false" customHeight="true" outlineLevel="0" collapsed="false">
      <c r="A13" s="14" t="s">
        <v>435</v>
      </c>
      <c r="B13" s="14" t="s">
        <v>436</v>
      </c>
      <c r="C13" s="14" t="s">
        <v>437</v>
      </c>
      <c r="D13" s="14" t="s">
        <v>433</v>
      </c>
      <c r="E13" s="14" t="s">
        <v>434</v>
      </c>
    </row>
    <row r="14" customFormat="false" ht="45" hidden="false" customHeight="true" outlineLevel="0" collapsed="false">
      <c r="A14" s="14" t="s">
        <v>438</v>
      </c>
      <c r="B14" s="14" t="s">
        <v>439</v>
      </c>
      <c r="C14" s="14" t="s">
        <v>440</v>
      </c>
      <c r="D14" s="14" t="s">
        <v>433</v>
      </c>
      <c r="E14" s="14" t="s">
        <v>434</v>
      </c>
    </row>
    <row r="15" customFormat="false" ht="45" hidden="false" customHeight="true" outlineLevel="0" collapsed="false">
      <c r="A15" s="14" t="s">
        <v>205</v>
      </c>
      <c r="B15" s="14" t="s">
        <v>441</v>
      </c>
      <c r="C15" s="14" t="s">
        <v>442</v>
      </c>
      <c r="D15" s="14" t="s">
        <v>443</v>
      </c>
      <c r="E15" s="14" t="s">
        <v>434</v>
      </c>
    </row>
    <row r="16" customFormat="false" ht="45" hidden="false" customHeight="true" outlineLevel="0" collapsed="false">
      <c r="A16" s="14" t="s">
        <v>444</v>
      </c>
      <c r="B16" s="14" t="s">
        <v>445</v>
      </c>
      <c r="C16" s="14" t="s">
        <v>446</v>
      </c>
      <c r="D16" s="14" t="s">
        <v>443</v>
      </c>
      <c r="E16" s="14" t="s">
        <v>434</v>
      </c>
    </row>
    <row r="17" customFormat="false" ht="45" hidden="false" customHeight="true" outlineLevel="0" collapsed="false">
      <c r="A17" s="14" t="s">
        <v>447</v>
      </c>
      <c r="B17" s="14" t="s">
        <v>448</v>
      </c>
      <c r="C17" s="14" t="s">
        <v>449</v>
      </c>
      <c r="D17" s="14" t="s">
        <v>443</v>
      </c>
      <c r="E17" s="14" t="s">
        <v>434</v>
      </c>
    </row>
    <row r="18" customFormat="false" ht="45" hidden="false" customHeight="true" outlineLevel="0" collapsed="false">
      <c r="A18" s="14" t="s">
        <v>450</v>
      </c>
      <c r="B18" s="14" t="s">
        <v>451</v>
      </c>
      <c r="C18" s="14" t="s">
        <v>452</v>
      </c>
      <c r="D18" s="14" t="s">
        <v>443</v>
      </c>
      <c r="E18" s="14" t="s">
        <v>453</v>
      </c>
    </row>
    <row r="19" customFormat="false" ht="45" hidden="false" customHeight="true" outlineLevel="0" collapsed="false">
      <c r="A19" s="14" t="s">
        <v>454</v>
      </c>
      <c r="B19" s="14" t="s">
        <v>455</v>
      </c>
      <c r="C19" s="14" t="s">
        <v>456</v>
      </c>
      <c r="D19" s="14" t="s">
        <v>457</v>
      </c>
      <c r="E19" s="14" t="s">
        <v>458</v>
      </c>
    </row>
    <row r="20" customFormat="false" ht="45" hidden="false" customHeight="true" outlineLevel="0" collapsed="false">
      <c r="A20" s="14" t="s">
        <v>459</v>
      </c>
      <c r="B20" s="14" t="s">
        <v>460</v>
      </c>
      <c r="C20" s="14" t="s">
        <v>461</v>
      </c>
      <c r="D20" s="14" t="s">
        <v>457</v>
      </c>
      <c r="E20" s="14" t="s">
        <v>434</v>
      </c>
    </row>
    <row r="21" customFormat="false" ht="45" hidden="false" customHeight="true" outlineLevel="0" collapsed="false">
      <c r="A21" s="14" t="s">
        <v>462</v>
      </c>
      <c r="B21" s="14" t="s">
        <v>463</v>
      </c>
      <c r="C21" s="14" t="s">
        <v>464</v>
      </c>
      <c r="D21" s="14" t="s">
        <v>457</v>
      </c>
      <c r="E21" s="14" t="s">
        <v>465</v>
      </c>
    </row>
    <row r="22" customFormat="false" ht="45" hidden="false" customHeight="true" outlineLevel="0" collapsed="false">
      <c r="A22" s="14" t="s">
        <v>466</v>
      </c>
      <c r="B22" s="14" t="s">
        <v>467</v>
      </c>
      <c r="C22" s="14" t="s">
        <v>468</v>
      </c>
      <c r="D22" s="14" t="s">
        <v>457</v>
      </c>
      <c r="E22" s="14" t="s">
        <v>469</v>
      </c>
    </row>
    <row r="23" customFormat="false" ht="45" hidden="false" customHeight="true" outlineLevel="0" collapsed="false">
      <c r="A23" s="14" t="s">
        <v>470</v>
      </c>
      <c r="B23" s="14" t="s">
        <v>471</v>
      </c>
      <c r="C23" s="14" t="s">
        <v>472</v>
      </c>
      <c r="D23" s="14" t="s">
        <v>457</v>
      </c>
      <c r="E23" s="14" t="s">
        <v>473</v>
      </c>
    </row>
    <row r="24" customFormat="false" ht="45" hidden="false" customHeight="true" outlineLevel="0" collapsed="false">
      <c r="A24" s="14" t="s">
        <v>474</v>
      </c>
      <c r="B24" s="14" t="s">
        <v>475</v>
      </c>
      <c r="C24" s="14" t="s">
        <v>476</v>
      </c>
      <c r="D24" s="14" t="s">
        <v>457</v>
      </c>
      <c r="E24" s="14" t="s">
        <v>477</v>
      </c>
    </row>
    <row r="25" customFormat="false" ht="45" hidden="false" customHeight="true" outlineLevel="0" collapsed="false">
      <c r="A25" s="14" t="s">
        <v>478</v>
      </c>
      <c r="B25" s="14" t="s">
        <v>479</v>
      </c>
      <c r="C25" s="14" t="s">
        <v>480</v>
      </c>
      <c r="D25" s="14" t="s">
        <v>457</v>
      </c>
      <c r="E25" s="14" t="s">
        <v>481</v>
      </c>
    </row>
    <row r="26" customFormat="false" ht="45" hidden="false" customHeight="true" outlineLevel="0" collapsed="false">
      <c r="A26" s="14" t="s">
        <v>482</v>
      </c>
      <c r="B26" s="14" t="s">
        <v>483</v>
      </c>
      <c r="C26" s="14" t="s">
        <v>484</v>
      </c>
      <c r="D26" s="14" t="s">
        <v>457</v>
      </c>
      <c r="E26" s="14" t="s">
        <v>485</v>
      </c>
    </row>
    <row r="27" customFormat="false" ht="45" hidden="false" customHeight="true" outlineLevel="0" collapsed="false">
      <c r="A27" s="14" t="s">
        <v>486</v>
      </c>
      <c r="B27" s="14" t="s">
        <v>487</v>
      </c>
      <c r="C27" s="14" t="s">
        <v>488</v>
      </c>
      <c r="D27" s="14" t="s">
        <v>457</v>
      </c>
      <c r="E27" s="14" t="s">
        <v>434</v>
      </c>
    </row>
    <row r="28" customFormat="false" ht="45" hidden="false" customHeight="true" outlineLevel="0" collapsed="false">
      <c r="A28" s="14" t="s">
        <v>257</v>
      </c>
      <c r="B28" s="14" t="s">
        <v>489</v>
      </c>
      <c r="C28" s="14" t="s">
        <v>490</v>
      </c>
      <c r="D28" s="14" t="s">
        <v>457</v>
      </c>
      <c r="E28" s="14" t="s">
        <v>491</v>
      </c>
    </row>
    <row r="29" customFormat="false" ht="45" hidden="false" customHeight="true" outlineLevel="0" collapsed="false">
      <c r="A29" s="14" t="s">
        <v>492</v>
      </c>
      <c r="B29" s="14" t="s">
        <v>493</v>
      </c>
      <c r="C29" s="14" t="s">
        <v>494</v>
      </c>
      <c r="D29" s="14" t="s">
        <v>457</v>
      </c>
      <c r="E29" s="14" t="s">
        <v>495</v>
      </c>
    </row>
    <row r="30" customFormat="false" ht="45" hidden="false" customHeight="true" outlineLevel="0" collapsed="false">
      <c r="A30" s="14" t="s">
        <v>496</v>
      </c>
      <c r="B30" s="14" t="s">
        <v>497</v>
      </c>
      <c r="C30" s="14" t="s">
        <v>498</v>
      </c>
      <c r="D30" s="14" t="s">
        <v>457</v>
      </c>
      <c r="E30" s="14" t="s">
        <v>499</v>
      </c>
    </row>
    <row r="31" customFormat="false" ht="45" hidden="false" customHeight="true" outlineLevel="0" collapsed="false">
      <c r="A31" s="14" t="s">
        <v>500</v>
      </c>
      <c r="B31" s="14" t="s">
        <v>501</v>
      </c>
      <c r="C31" s="14" t="s">
        <v>502</v>
      </c>
      <c r="D31" s="14" t="s">
        <v>457</v>
      </c>
      <c r="E31" s="14" t="s">
        <v>503</v>
      </c>
    </row>
    <row r="32" customFormat="false" ht="45" hidden="false" customHeight="true" outlineLevel="0" collapsed="false">
      <c r="A32" s="14" t="s">
        <v>504</v>
      </c>
      <c r="B32" s="14" t="s">
        <v>505</v>
      </c>
      <c r="C32" s="14" t="s">
        <v>506</v>
      </c>
      <c r="D32" s="14" t="s">
        <v>507</v>
      </c>
      <c r="E32" s="14" t="s">
        <v>508</v>
      </c>
    </row>
    <row r="33" customFormat="false" ht="45" hidden="false" customHeight="true" outlineLevel="0" collapsed="false">
      <c r="A33" s="14" t="s">
        <v>509</v>
      </c>
      <c r="B33" s="14" t="s">
        <v>510</v>
      </c>
      <c r="C33" s="14" t="s">
        <v>511</v>
      </c>
      <c r="D33" s="14" t="s">
        <v>507</v>
      </c>
      <c r="E33" s="14" t="s">
        <v>499</v>
      </c>
    </row>
    <row r="34" customFormat="false" ht="45" hidden="false" customHeight="true" outlineLevel="0" collapsed="false">
      <c r="A34" s="14" t="s">
        <v>512</v>
      </c>
      <c r="B34" s="14" t="s">
        <v>513</v>
      </c>
      <c r="C34" s="14" t="s">
        <v>514</v>
      </c>
      <c r="D34" s="14" t="s">
        <v>507</v>
      </c>
      <c r="E34" s="14" t="s">
        <v>515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2026-10-28T02:57:13Z</dcterms:created>
  <dc:creator>openpyxl</dc:creator>
  <dc:description/>
  <dc:language>en-US</dc:language>
  <cp:lastModifiedBy/>
  <dcterms:modified xsi:type="dcterms:W3CDTF">2026-10-28T02:57:14Z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